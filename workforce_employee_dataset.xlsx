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ployee_Master" sheetId="2" state="visible" r:id="rId4"/>
    <sheet name="Skill_Matrix" sheetId="3" state="visible" r:id="rId5"/>
    <sheet name="Allocations" sheetId="4" state="visible" r:id="rId6"/>
    <sheet name="Projects" sheetId="5" state="visible" r:id="rId7"/>
    <sheet name="Project_Requirements" sheetId="6" state="visible" r:id="rId8"/>
    <sheet name="Training_Catalog" sheetId="7" state="visible" r:id="rId9"/>
    <sheet name="Skills" sheetId="8" state="visible" r:id="rId10"/>
  </sheets>
  <definedNames>
    <definedName function="false" hidden="true" localSheetId="3" name="_xlnm._FilterDatabase" vbProcedure="false">Allocations!$A$1:$I$274</definedName>
    <definedName function="false" hidden="true" localSheetId="1" name="_xlnm._FilterDatabase" vbProcedure="false">Employee_Master!$A$1:$Z$121</definedName>
    <definedName function="false" hidden="true" localSheetId="5" name="_xlnm._FilterDatabase" vbProcedure="false">Project_Requirements!$A$1:$F$32</definedName>
    <definedName function="false" hidden="true" localSheetId="4" name="_xlnm._FilterDatabase" vbProcedure="false">Projects!$A$1:$J$8</definedName>
    <definedName function="false" hidden="true" localSheetId="2" name="_xlnm._FilterDatabase" vbProcedure="false">Skill_Matrix!$A$1:$R$121</definedName>
    <definedName function="false" hidden="true" localSheetId="7" name="_xlnm._FilterDatabase" vbProcedure="false">Skills!$A$1:$C$17</definedName>
    <definedName function="false" hidden="true" localSheetId="6" name="_xlnm._FilterDatabase" vbProcedure="false">Training_Catalog!$A$1:$H$21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<sst xmlns="http://schemas.openxmlformats.org/spreadsheetml/2006/main" count="4698" uniqueCount="1338">
  <si>
    <t xml:space="preserve">Workforce Intelligence - Employee Dataset (fictional)</t>
  </si>
  <si>
    <t xml:space="preserve">Company: Nimbus Technologies. As-of date 15 Oct 2026. 120 employees, 7 projects. Built for HackAttack - Workforce Intelligence.</t>
  </si>
  <si>
    <t xml:space="preserve">Sheets</t>
  </si>
  <si>
    <t xml:space="preserve">Employee_Master - HR-style employee records. Allocated Hrs, Utilization, Available Hrs and Workload Status are formulas over Allocations.</t>
  </si>
  <si>
    <t xml:space="preserve">Skill_Matrix - employee x skill proficiency grid (1 beginner ... 5 expert). Blank = no skill recorded.</t>
  </si>
  <si>
    <t xml:space="preserve">Allocations - who works on which project, hours per week. Movable = Yes means task can be reassigned.</t>
  </si>
  <si>
    <t xml:space="preserve">Projects / Project_Requirements - 6 active projects and 1 planning project (P7). Training_Catalog and Skills - reference lists.</t>
  </si>
  <si>
    <t xml:space="preserve">Rules: Utilization = allocated hrs / capacity hrs. Overloaded &gt; 100%. Underutilized &lt; 50%. Otherwise Healthy.</t>
  </si>
  <si>
    <t xml:space="preserve">Scenario A: P7 Customer Churn Analytics needs Python L4, Cloud L4, Data Analytics L4, SQL L3, Spark L3, Power BI L2. Spark is a deliberate gap (nobody above L2).</t>
  </si>
  <si>
    <t xml:space="preserve">Scenario B: several overloaded employees share skills with underutilized employees, so rebalancing is possible.</t>
  </si>
  <si>
    <t xml:space="preserve">All names, emails, managers, clients and courses are fictional. Current Projects column is a text snapshot of Allocations.</t>
  </si>
  <si>
    <t xml:space="preserve">Employee ID</t>
  </si>
  <si>
    <t xml:space="preserve">Full Name</t>
  </si>
  <si>
    <t xml:space="preserve">Email</t>
  </si>
  <si>
    <t xml:space="preserve">Department</t>
  </si>
  <si>
    <t xml:space="preserve">Designation</t>
  </si>
  <si>
    <t xml:space="preserve">Grade</t>
  </si>
  <si>
    <t xml:space="preserve">Reporting Manager</t>
  </si>
  <si>
    <t xml:space="preserve">Date of Joining</t>
  </si>
  <si>
    <t xml:space="preserve">Total Experience (Yrs)</t>
  </si>
  <si>
    <t xml:space="preserve">Work Location</t>
  </si>
  <si>
    <t xml:space="preserve">Work Mode</t>
  </si>
  <si>
    <t xml:space="preserve">Employment Type</t>
  </si>
  <si>
    <t xml:space="preserve">Highest Qualification</t>
  </si>
  <si>
    <t xml:space="preserve">Primary Skills</t>
  </si>
  <si>
    <t xml:space="preserve">Secondary Skills</t>
  </si>
  <si>
    <t xml:space="preserve">Certifications</t>
  </si>
  <si>
    <t xml:space="preserve">Performance Rating (1-5)</t>
  </si>
  <si>
    <t xml:space="preserve">Capacity Hrs/Week</t>
  </si>
  <si>
    <t xml:space="preserve">Allocated Hrs/Week</t>
  </si>
  <si>
    <t xml:space="preserve">Utilization</t>
  </si>
  <si>
    <t xml:space="preserve">Available Hrs/Week</t>
  </si>
  <si>
    <t xml:space="preserve">Workload Status</t>
  </si>
  <si>
    <t xml:space="preserve">Current Projects</t>
  </si>
  <si>
    <t xml:space="preserve">Leave Start</t>
  </si>
  <si>
    <t xml:space="preserve">Leave End</t>
  </si>
  <si>
    <t xml:space="preserve">Last Training Completed</t>
  </si>
  <si>
    <t xml:space="preserve">NT-1001</t>
  </si>
  <si>
    <t xml:space="preserve">Pooja Mishra</t>
  </si>
  <si>
    <t xml:space="preserve">pooja.mishra@nimbustech.example</t>
  </si>
  <si>
    <t xml:space="preserve">Quality Assurance</t>
  </si>
  <si>
    <t xml:space="preserve">Senior QA Engineer</t>
  </si>
  <si>
    <t xml:space="preserve">L3</t>
  </si>
  <si>
    <t xml:space="preserve">Aarav Teja</t>
  </si>
  <si>
    <t xml:space="preserve">Chennai</t>
  </si>
  <si>
    <t xml:space="preserve">Onsite</t>
  </si>
  <si>
    <t xml:space="preserve">Full-time</t>
  </si>
  <si>
    <t xml:space="preserve">M.Tech Computer Science</t>
  </si>
  <si>
    <t xml:space="preserve">Testing &amp; QA (L5), SQL (L3), JavaScript (L2)</t>
  </si>
  <si>
    <t xml:space="preserve">ISTQB Foundation Level</t>
  </si>
  <si>
    <t xml:space="preserve">Hospital Appointment Portal (15h); HR Analytics Dashboard (17h)</t>
  </si>
  <si>
    <t xml:space="preserve">NT-1002</t>
  </si>
  <si>
    <t xml:space="preserve">Varun Teja</t>
  </si>
  <si>
    <t xml:space="preserve">varun.teja@nimbustech.example</t>
  </si>
  <si>
    <t xml:space="preserve">QA Engineer</t>
  </si>
  <si>
    <t xml:space="preserve">L2</t>
  </si>
  <si>
    <t xml:space="preserve">Pune</t>
  </si>
  <si>
    <t xml:space="preserve">B.Sc Computer Science</t>
  </si>
  <si>
    <t xml:space="preserve">Testing &amp; QA (L5), JavaScript (L3), SQL (L2)</t>
  </si>
  <si>
    <t xml:space="preserve">Hospital Appointment Portal (21h); Logistics Fleet Tracker App (13h)</t>
  </si>
  <si>
    <t xml:space="preserve">NT-1003</t>
  </si>
  <si>
    <t xml:space="preserve">Nithya Kamath</t>
  </si>
  <si>
    <t xml:space="preserve">nithya.kamath@nimbustech.example</t>
  </si>
  <si>
    <t xml:space="preserve">Engineering</t>
  </si>
  <si>
    <t xml:space="preserve">Frontend Developer</t>
  </si>
  <si>
    <t xml:space="preserve">Charan Hegde</t>
  </si>
  <si>
    <t xml:space="preserve">Mumbai</t>
  </si>
  <si>
    <t xml:space="preserve">Hybrid</t>
  </si>
  <si>
    <t xml:space="preserve">B.Tech Information Technology</t>
  </si>
  <si>
    <t xml:space="preserve">React (L5), UI/UX Design (L4), JavaScript (L3)</t>
  </si>
  <si>
    <t xml:space="preserve">Testing &amp; QA (L3)</t>
  </si>
  <si>
    <t xml:space="preserve">Hospital Appointment Portal (8h); Logistics Fleet Tracker App (24h)</t>
  </si>
  <si>
    <t xml:space="preserve">Spark Performance Tuning (Jul 2026)</t>
  </si>
  <si>
    <t xml:space="preserve">NT-1004</t>
  </si>
  <si>
    <t xml:space="preserve">Akash Jain</t>
  </si>
  <si>
    <t xml:space="preserve">akash.jain@nimbustech.example</t>
  </si>
  <si>
    <t xml:space="preserve">B.E. Electronics &amp; Communication</t>
  </si>
  <si>
    <t xml:space="preserve">JavaScript (L5), React (L5), UI/UX Design (L3)</t>
  </si>
  <si>
    <t xml:space="preserve">Hospital Appointment Portal (5h); Logistics Fleet Tracker App (19h)</t>
  </si>
  <si>
    <t xml:space="preserve">Python for Production Systems (Sep 2026)</t>
  </si>
  <si>
    <t xml:space="preserve">NT-1005</t>
  </si>
  <si>
    <t xml:space="preserve">Harsha Kapoor</t>
  </si>
  <si>
    <t xml:space="preserve">harsha.kapoor@nimbustech.example</t>
  </si>
  <si>
    <t xml:space="preserve">Senior Full-Stack Developer</t>
  </si>
  <si>
    <t xml:space="preserve">Bengaluru</t>
  </si>
  <si>
    <t xml:space="preserve">B.E. Information Science</t>
  </si>
  <si>
    <t xml:space="preserve">JavaScript (L5), React (L5), Node.js (L5)</t>
  </si>
  <si>
    <t xml:space="preserve">SQL (L3), Docker &amp; Kubernetes (L2), DevOps &amp; CI/CD (L2)</t>
  </si>
  <si>
    <t xml:space="preserve">Logistics Fleet Tracker App (17h); Hospital Appointment Portal (17h)</t>
  </si>
  <si>
    <t xml:space="preserve">Data Analytics with Python and SQL (Sep 2026)</t>
  </si>
  <si>
    <t xml:space="preserve">NT-1006</t>
  </si>
  <si>
    <t xml:space="preserve">Naveen Prasad</t>
  </si>
  <si>
    <t xml:space="preserve">naveen.prasad@nimbustech.example</t>
  </si>
  <si>
    <t xml:space="preserve">Platform</t>
  </si>
  <si>
    <t xml:space="preserve">Lead DevOps Engineer</t>
  </si>
  <si>
    <t xml:space="preserve">L4</t>
  </si>
  <si>
    <t xml:space="preserve">Pooja Narayan</t>
  </si>
  <si>
    <t xml:space="preserve">DevOps &amp; CI/CD (L5), Docker &amp; Kubernetes (L4), Cloud Computing (AWS/Azure) (L4)</t>
  </si>
  <si>
    <t xml:space="preserve">Cybersecurity (L4), Python (L2), Data Analytics (L2)</t>
  </si>
  <si>
    <t xml:space="preserve">HashiCorp Terraform Associate; CEH</t>
  </si>
  <si>
    <t xml:space="preserve">Cloud Migration - Legacy ERP (10h); Fintech Fraud Alerts (6h); Logistics Fleet Tracker App (12h)</t>
  </si>
  <si>
    <t xml:space="preserve">Apache Spark Essentials for Data Engineers (Mar 2026)</t>
  </si>
  <si>
    <t xml:space="preserve">NT-1007</t>
  </si>
  <si>
    <t xml:space="preserve">Pallavi Tiwari</t>
  </si>
  <si>
    <t xml:space="preserve">pallavi.tiwari@nimbustech.example</t>
  </si>
  <si>
    <t xml:space="preserve">Backend Engineer</t>
  </si>
  <si>
    <t xml:space="preserve">Python (L3), SQL (L3), Node.js (L3)</t>
  </si>
  <si>
    <t xml:space="preserve">Cloud Computing (AWS/Azure) (L3), Docker &amp; Kubernetes (L2), Power BI / Tableau (L2), Testing &amp; QA (L1)</t>
  </si>
  <si>
    <t xml:space="preserve">Retail Demand Forecasting (4h); Logistics Fleet Tracker App (14h); Hospital Appointment Portal (14h)</t>
  </si>
  <si>
    <t xml:space="preserve">Test Automation with Playwright (Dec 2025)</t>
  </si>
  <si>
    <t xml:space="preserve">NT-1008</t>
  </si>
  <si>
    <t xml:space="preserve">Uday Shenoy</t>
  </si>
  <si>
    <t xml:space="preserve">uday.shenoy@nimbustech.example</t>
  </si>
  <si>
    <t xml:space="preserve">Hyderabad</t>
  </si>
  <si>
    <t xml:space="preserve">Testing &amp; QA (L3), Machine Learning (L2)</t>
  </si>
  <si>
    <t xml:space="preserve">Hospital Appointment Portal (16h); Logistics Fleet Tracker App (5h); Retail Demand Forecasting (7h)</t>
  </si>
  <si>
    <t xml:space="preserve">TypeScript for JavaScript Developers (Jan 2026)</t>
  </si>
  <si>
    <t xml:space="preserve">NT-1009</t>
  </si>
  <si>
    <t xml:space="preserve">pooja.narayan@nimbustech.example</t>
  </si>
  <si>
    <t xml:space="preserve">Principal DevOps Engineer</t>
  </si>
  <si>
    <t xml:space="preserve">L5</t>
  </si>
  <si>
    <t xml:space="preserve">Rajesh Khanna (VP Delivery)</t>
  </si>
  <si>
    <t xml:space="preserve">DevOps &amp; CI/CD (L5), Docker &amp; Kubernetes (L3), Cloud Computing (AWS/Azure) (L3)</t>
  </si>
  <si>
    <t xml:space="preserve">Cybersecurity (L3), Python (L2)</t>
  </si>
  <si>
    <t xml:space="preserve">Cloud Migration - Legacy ERP (8h); Fintech Fraud Alerts (18h); Logistics Fleet Tracker App (6h)</t>
  </si>
  <si>
    <t xml:space="preserve">NT-1010</t>
  </si>
  <si>
    <t xml:space="preserve">charan.hegde@nimbustech.example</t>
  </si>
  <si>
    <t xml:space="preserve">Principal Backend Engineer</t>
  </si>
  <si>
    <t xml:space="preserve">Node.js (L4), Python (L3), SQL (L3)</t>
  </si>
  <si>
    <t xml:space="preserve">Docker &amp; Kubernetes (L3), Cloud Computing (AWS/Azure) (L2), Testing &amp; QA (L2)</t>
  </si>
  <si>
    <t xml:space="preserve">Hospital Appointment Portal (5h); Retail Demand Forecasting (31h)</t>
  </si>
  <si>
    <t xml:space="preserve">Modern React Patterns (Jan 2026)</t>
  </si>
  <si>
    <t xml:space="preserve">NT-1011</t>
  </si>
  <si>
    <t xml:space="preserve">Divya Menon</t>
  </si>
  <si>
    <t xml:space="preserve">divya.menon@nimbustech.example</t>
  </si>
  <si>
    <t xml:space="preserve">Data &amp; Analytics</t>
  </si>
  <si>
    <t xml:space="preserve">Senior Data Scientist</t>
  </si>
  <si>
    <t xml:space="preserve">Charan Jain</t>
  </si>
  <si>
    <t xml:space="preserve">Python (L4), Data Analytics (L4), SQL (L4)</t>
  </si>
  <si>
    <t xml:space="preserve">Machine Learning (L3), Power BI / Tableau (L3)</t>
  </si>
  <si>
    <t xml:space="preserve">PCEP - Certified Entry-Level Python Programmer; Oracle SQL Associate</t>
  </si>
  <si>
    <t xml:space="preserve">HR Analytics Dashboard (20h); Retail Demand Forecasting (18h); Fintech Fraud Alerts (12h)</t>
  </si>
  <si>
    <t xml:space="preserve">Python Fundamentals Bootcamp (Jan 2026)</t>
  </si>
  <si>
    <t xml:space="preserve">NT-1012</t>
  </si>
  <si>
    <t xml:space="preserve">Isha Mehta</t>
  </si>
  <si>
    <t xml:space="preserve">isha.mehta@nimbustech.example</t>
  </si>
  <si>
    <t xml:space="preserve">AI Lab</t>
  </si>
  <si>
    <t xml:space="preserve">Senior ML Engineer</t>
  </si>
  <si>
    <t xml:space="preserve">Mohan Iyer</t>
  </si>
  <si>
    <t xml:space="preserve">Remote</t>
  </si>
  <si>
    <t xml:space="preserve">Contract</t>
  </si>
  <si>
    <t xml:space="preserve">B.E. Computer Science</t>
  </si>
  <si>
    <t xml:space="preserve">Python (L5), Machine Learning (L5), Docker &amp; Kubernetes (L3)</t>
  </si>
  <si>
    <t xml:space="preserve">Data Analytics (L3), Cloud Computing (AWS/Azure) (L2)</t>
  </si>
  <si>
    <t xml:space="preserve">PCEP - Certified Entry-Level Python Programmer</t>
  </si>
  <si>
    <t xml:space="preserve">Retail Demand Forecasting (23h); Fintech Fraud Alerts (9h)</t>
  </si>
  <si>
    <t xml:space="preserve">Modern React Patterns (May 2026)</t>
  </si>
  <si>
    <t xml:space="preserve">NT-1013</t>
  </si>
  <si>
    <t xml:space="preserve">Naveen Sen</t>
  </si>
  <si>
    <t xml:space="preserve">naveen.sen@nimbustech.example</t>
  </si>
  <si>
    <t xml:space="preserve">Associate Full-Stack Developer</t>
  </si>
  <si>
    <t xml:space="preserve">L1</t>
  </si>
  <si>
    <t xml:space="preserve">JavaScript (L4), React (L4), Node.js (L4)</t>
  </si>
  <si>
    <t xml:space="preserve">SQL (L2), Docker &amp; Kubernetes (L2), Testing &amp; QA (L2)</t>
  </si>
  <si>
    <t xml:space="preserve">Logistics Fleet Tracker App (7h); Hospital Appointment Portal (21h)</t>
  </si>
  <si>
    <t xml:space="preserve">Python for Production Systems (Jan 2026)</t>
  </si>
  <si>
    <t xml:space="preserve">NT-1014</t>
  </si>
  <si>
    <t xml:space="preserve">aarav.teja@nimbustech.example</t>
  </si>
  <si>
    <t xml:space="preserve">Principal QA Engineer</t>
  </si>
  <si>
    <t xml:space="preserve">MCA</t>
  </si>
  <si>
    <t xml:space="preserve">Testing &amp; QA (L4), JavaScript (L3), Python (L3)</t>
  </si>
  <si>
    <t xml:space="preserve">SQL (L2)</t>
  </si>
  <si>
    <t xml:space="preserve">Hospital Appointment Portal (9h); Fintech Fraud Alerts (15h)</t>
  </si>
  <si>
    <t xml:space="preserve">Power BI Dashboard Design (May 2026)</t>
  </si>
  <si>
    <t xml:space="preserve">NT-1015</t>
  </si>
  <si>
    <t xml:space="preserve">Imran Sheikh</t>
  </si>
  <si>
    <t xml:space="preserve">imran.sheikh@nimbustech.example</t>
  </si>
  <si>
    <t xml:space="preserve">Data Scientist</t>
  </si>
  <si>
    <t xml:space="preserve">Python (L4), Machine Learning (L3), SQL (L3)</t>
  </si>
  <si>
    <t xml:space="preserve">Data Analytics (L3), Apache Spark (L2)</t>
  </si>
  <si>
    <t xml:space="preserve">Retail Demand Forecasting (10h)</t>
  </si>
  <si>
    <t xml:space="preserve">Data Analytics with Python and SQL (May 2026)</t>
  </si>
  <si>
    <t xml:space="preserve">NT-1016</t>
  </si>
  <si>
    <t xml:space="preserve">Disha Iyer</t>
  </si>
  <si>
    <t xml:space="preserve">disha.iyer@nimbustech.example</t>
  </si>
  <si>
    <t xml:space="preserve">Senior Backend Engineer</t>
  </si>
  <si>
    <t xml:space="preserve">Python (L5), SQL (L4), Cloud Computing (AWS/Azure) (L4)</t>
  </si>
  <si>
    <t xml:space="preserve">Node.js (L2), Docker &amp; Kubernetes (L2), Testing &amp; QA (L2)</t>
  </si>
  <si>
    <t xml:space="preserve">PCEP - Certified Entry-Level Python Programmer; Oracle SQL Associate; Microsoft Azure Fundamentals (AZ-900)</t>
  </si>
  <si>
    <t xml:space="preserve">Retail Demand Forecasting (7h); Cloud Migration - Legacy ERP (5h); Logistics Fleet Tracker App (16h)</t>
  </si>
  <si>
    <t xml:space="preserve">NT-1017</t>
  </si>
  <si>
    <t xml:space="preserve">Keerthi Nambiar</t>
  </si>
  <si>
    <t xml:space="preserve">keerthi.nambiar@nimbustech.example</t>
  </si>
  <si>
    <t xml:space="preserve">Associate ML Engineer</t>
  </si>
  <si>
    <t xml:space="preserve">Machine Learning (L5), Python (L4), Docker &amp; Kubernetes (L4)</t>
  </si>
  <si>
    <t xml:space="preserve">Cloud Computing (AWS/Azure) (L3), Data Analytics (L3)</t>
  </si>
  <si>
    <t xml:space="preserve">TensorFlow Developer Certificate; PCEP - Certified Entry-Level Python Programmer; Certified Kubernetes Administrator (CKA)</t>
  </si>
  <si>
    <t xml:space="preserve">Retail Demand Forecasting (23h); Fintech Fraud Alerts (13h)</t>
  </si>
  <si>
    <t xml:space="preserve">Applied Machine Learning (May 2026)</t>
  </si>
  <si>
    <t xml:space="preserve">NT-1018</t>
  </si>
  <si>
    <t xml:space="preserve">Karthik Ghosh</t>
  </si>
  <si>
    <t xml:space="preserve">karthik.ghosh@nimbustech.example</t>
  </si>
  <si>
    <t xml:space="preserve">Design</t>
  </si>
  <si>
    <t xml:space="preserve">Lead UI/UX Designer</t>
  </si>
  <si>
    <t xml:space="preserve">Priya Teja</t>
  </si>
  <si>
    <t xml:space="preserve">UI/UX Design (L5), JavaScript (L3), React (L2)</t>
  </si>
  <si>
    <t xml:space="preserve">DevOps &amp; CI/CD (L1)</t>
  </si>
  <si>
    <t xml:space="preserve">Hospital Appointment Portal (23h); Logistics Fleet Tracker App (13h)</t>
  </si>
  <si>
    <t xml:space="preserve">Apache Spark Essentials for Data Engineers (Aug 2026)</t>
  </si>
  <si>
    <t xml:space="preserve">NT-1019</t>
  </si>
  <si>
    <t xml:space="preserve">Usha Khan</t>
  </si>
  <si>
    <t xml:space="preserve">usha.khan@nimbustech.example</t>
  </si>
  <si>
    <t xml:space="preserve">React (L4), SQL (L4), JavaScript (L3)</t>
  </si>
  <si>
    <t xml:space="preserve">Node.js (L3), Docker &amp; Kubernetes (L3)</t>
  </si>
  <si>
    <t xml:space="preserve">Oracle SQL Associate</t>
  </si>
  <si>
    <t xml:space="preserve">Hospital Appointment Portal (6h); Logistics Fleet Tracker App (4h); Retail Demand Forecasting (18h)</t>
  </si>
  <si>
    <t xml:space="preserve">NT-1020</t>
  </si>
  <si>
    <t xml:space="preserve">Ritika Naik</t>
  </si>
  <si>
    <t xml:space="preserve">ritika.naik@nimbustech.example</t>
  </si>
  <si>
    <t xml:space="preserve">Senior DevOps Engineer</t>
  </si>
  <si>
    <t xml:space="preserve">Cybersecurity (L3), Python (L2), JavaScript (L2)</t>
  </si>
  <si>
    <t xml:space="preserve">Cloud Migration - Legacy ERP (16h)</t>
  </si>
  <si>
    <t xml:space="preserve">Secure Cloud Engineering (Jul 2026)</t>
  </si>
  <si>
    <t xml:space="preserve">NT-1021</t>
  </si>
  <si>
    <t xml:space="preserve">Chetan Sen</t>
  </si>
  <si>
    <t xml:space="preserve">chetan.sen@nimbustech.example</t>
  </si>
  <si>
    <t xml:space="preserve">Lead Full-Stack Developer</t>
  </si>
  <si>
    <t xml:space="preserve">Node.js (L5), React (L4), JavaScript (L3)</t>
  </si>
  <si>
    <t xml:space="preserve">SQL (L3), Docker &amp; Kubernetes (L2), Data Analytics (L1)</t>
  </si>
  <si>
    <t xml:space="preserve">Logistics Fleet Tracker App (9h); Hospital Appointment Portal (7h); HR Analytics Dashboard (12h)</t>
  </si>
  <si>
    <t xml:space="preserve">Power BI Dashboard Design (Aug 2026)</t>
  </si>
  <si>
    <t xml:space="preserve">NT-1022</t>
  </si>
  <si>
    <t xml:space="preserve">Lakshmi Chauhan</t>
  </si>
  <si>
    <t xml:space="preserve">lakshmi.chauhan@nimbustech.example</t>
  </si>
  <si>
    <t xml:space="preserve">Python (L4), SQL (L4), Node.js (L4)</t>
  </si>
  <si>
    <t xml:space="preserve">Cloud Computing (AWS/Azure) (L3), Docker &amp; Kubernetes (L2), Testing &amp; QA (L2)</t>
  </si>
  <si>
    <t xml:space="preserve">Hospital Appointment Portal (15h); Logistics Fleet Tracker App (19h)</t>
  </si>
  <si>
    <t xml:space="preserve">TypeScript for JavaScript Developers (Aug 2026)</t>
  </si>
  <si>
    <t xml:space="preserve">NT-1023</t>
  </si>
  <si>
    <t xml:space="preserve">Suresh Prasad</t>
  </si>
  <si>
    <t xml:space="preserve">suresh.prasad@nimbustech.example</t>
  </si>
  <si>
    <t xml:space="preserve">Python (L4), Machine Learning (L4), Cloud Computing (AWS/Azure) (L4)</t>
  </si>
  <si>
    <t xml:space="preserve">Docker &amp; Kubernetes (L3), Data Analytics (L3), JavaScript (L1)</t>
  </si>
  <si>
    <t xml:space="preserve">Retail Demand Forecasting (20h); Fintech Fraud Alerts (6h)</t>
  </si>
  <si>
    <t xml:space="preserve">Advanced Analytics and Storytelling (Mar 2026)</t>
  </si>
  <si>
    <t xml:space="preserve">NT-1024</t>
  </si>
  <si>
    <t xml:space="preserve">Harini Gupta</t>
  </si>
  <si>
    <t xml:space="preserve">harini.gupta@nimbustech.example</t>
  </si>
  <si>
    <t xml:space="preserve">React (L5), JavaScript (L4), Node.js (L3)</t>
  </si>
  <si>
    <t xml:space="preserve">SQL (L3), Docker &amp; Kubernetes (L3)</t>
  </si>
  <si>
    <t xml:space="preserve">Logistics Fleet Tracker App (30h); Hospital Appointment Portal (10h); Cloud Migration - Legacy ERP (6h)</t>
  </si>
  <si>
    <t xml:space="preserve">Advanced Analytics and Storytelling (Aug 2026)</t>
  </si>
  <si>
    <t xml:space="preserve">NT-1025</t>
  </si>
  <si>
    <t xml:space="preserve">Venkat Kulkarni</t>
  </si>
  <si>
    <t xml:space="preserve">venkat.kulkarni@nimbustech.example</t>
  </si>
  <si>
    <t xml:space="preserve">React (L5), JavaScript (L4), UI/UX Design (L2)</t>
  </si>
  <si>
    <t xml:space="preserve">Testing &amp; QA (L2)</t>
  </si>
  <si>
    <t xml:space="preserve">Logistics Fleet Tracker App (18h); Hospital Appointment Portal (8h)</t>
  </si>
  <si>
    <t xml:space="preserve">Design Systems for Product Teams (Feb 2026)</t>
  </si>
  <si>
    <t xml:space="preserve">NT-1026</t>
  </si>
  <si>
    <t xml:space="preserve">Gautham Iyer</t>
  </si>
  <si>
    <t xml:space="preserve">gautham.iyer@nimbustech.example</t>
  </si>
  <si>
    <t xml:space="preserve">Python (L5), Machine Learning (L4), Cloud Computing (AWS/Azure) (L4)</t>
  </si>
  <si>
    <t xml:space="preserve">Data Analytics (L4), Docker &amp; Kubernetes (L2), JavaScript (L2)</t>
  </si>
  <si>
    <t xml:space="preserve">Databricks ML Associate; AWS Certified Solutions Architect - Associate; Google Data Analytics Certificate</t>
  </si>
  <si>
    <t xml:space="preserve">Retail Demand Forecasting (4h); Fintech Fraud Alerts (6h); Logistics Fleet Tracker App (34h)</t>
  </si>
  <si>
    <t xml:space="preserve">Advanced SQL for Analysts (Apr 2026)</t>
  </si>
  <si>
    <t xml:space="preserve">NT-1027</t>
  </si>
  <si>
    <t xml:space="preserve">Venkat Reddy</t>
  </si>
  <si>
    <t xml:space="preserve">venkat.reddy@nimbustech.example</t>
  </si>
  <si>
    <t xml:space="preserve">Associate Frontend Developer</t>
  </si>
  <si>
    <t xml:space="preserve">React (L5), UI/UX Design (L4), Testing &amp; QA (L4)</t>
  </si>
  <si>
    <t xml:space="preserve">JavaScript (L3)</t>
  </si>
  <si>
    <t xml:space="preserve">Hospital Appointment Portal (19h); Logistics Fleet Tracker App (5h)</t>
  </si>
  <si>
    <t xml:space="preserve">Advanced Analytics and Storytelling (Sep 2026)</t>
  </si>
  <si>
    <t xml:space="preserve">NT-1028</t>
  </si>
  <si>
    <t xml:space="preserve">Vikram Nair</t>
  </si>
  <si>
    <t xml:space="preserve">vikram.nair@nimbustech.example</t>
  </si>
  <si>
    <t xml:space="preserve">Lead Frontend Developer</t>
  </si>
  <si>
    <t xml:space="preserve">JavaScript (L5), React (L5), Testing &amp; QA (L3)</t>
  </si>
  <si>
    <t xml:space="preserve">UI/UX Design (L2), SQL (L1)</t>
  </si>
  <si>
    <t xml:space="preserve">Hospital Appointment Portal (5h); Logistics Fleet Tracker App (31h)</t>
  </si>
  <si>
    <t xml:space="preserve">NT-1029</t>
  </si>
  <si>
    <t xml:space="preserve">Anjali Reddy</t>
  </si>
  <si>
    <t xml:space="preserve">anjali.reddy@nimbustech.example</t>
  </si>
  <si>
    <t xml:space="preserve">SQL (L5), Node.js (L4), Docker &amp; Kubernetes (L4)</t>
  </si>
  <si>
    <t xml:space="preserve">Python (L3), Cloud Computing (AWS/Azure) (L3), Testing &amp; QA (L3), Data Analytics (L1)</t>
  </si>
  <si>
    <t xml:space="preserve">Oracle SQL Associate; Certified Kubernetes Administrator (CKA)</t>
  </si>
  <si>
    <t xml:space="preserve">Hospital Appointment Portal (12h); Logistics Fleet Tracker App (20h)</t>
  </si>
  <si>
    <t xml:space="preserve">Apache Spark Essentials for Data Engineers (Feb 2026)</t>
  </si>
  <si>
    <t xml:space="preserve">NT-1030</t>
  </si>
  <si>
    <t xml:space="preserve">Farhan Shenoy</t>
  </si>
  <si>
    <t xml:space="preserve">farhan.shenoy@nimbustech.example</t>
  </si>
  <si>
    <t xml:space="preserve">JavaScript (L4), React (L4), SQL (L4)</t>
  </si>
  <si>
    <t xml:space="preserve">Node.js (L3), Data Analytics (L2), Docker &amp; Kubernetes (L1)</t>
  </si>
  <si>
    <t xml:space="preserve">Logistics Fleet Tracker App (26h); Hospital Appointment Portal (10h)</t>
  </si>
  <si>
    <t xml:space="preserve">NT-1031</t>
  </si>
  <si>
    <t xml:space="preserve">Divya Kulkarni</t>
  </si>
  <si>
    <t xml:space="preserve">divya.kulkarni@nimbustech.example</t>
  </si>
  <si>
    <t xml:space="preserve">JavaScript (L5), React (L4), Node.js (L3)</t>
  </si>
  <si>
    <t xml:space="preserve">SQL (L2), Docker &amp; Kubernetes (L2), Machine Learning (L2)</t>
  </si>
  <si>
    <t xml:space="preserve">Logistics Fleet Tracker App (17h); Hospital Appointment Portal (7h)</t>
  </si>
  <si>
    <t xml:space="preserve">Apache Spark Essentials for Data Engineers (May 2026)</t>
  </si>
  <si>
    <t xml:space="preserve">NT-1032</t>
  </si>
  <si>
    <t xml:space="preserve">Ritika Sheikh</t>
  </si>
  <si>
    <t xml:space="preserve">ritika.sheikh@nimbustech.example</t>
  </si>
  <si>
    <t xml:space="preserve">Hospital Appointment Portal (6h); Logistics Fleet Tracker App (16h); Retail Demand Forecasting (14h)</t>
  </si>
  <si>
    <t xml:space="preserve">CI/CD Pipelines with GitHub Actions (Dec 2025)</t>
  </si>
  <si>
    <t xml:space="preserve">NT-1033</t>
  </si>
  <si>
    <t xml:space="preserve">Meera Bhandari</t>
  </si>
  <si>
    <t xml:space="preserve">meera.bhandari@nimbustech.example</t>
  </si>
  <si>
    <t xml:space="preserve">Delivery</t>
  </si>
  <si>
    <t xml:space="preserve">Director - Project Manager</t>
  </si>
  <si>
    <t xml:space="preserve">Project Management (L5), Power BI / Tableau (L3), Data Analytics (L1)</t>
  </si>
  <si>
    <t xml:space="preserve">HR Analytics Dashboard (13h); Logistics Fleet Tracker App (18h); Retail Demand Forecasting (5h)</t>
  </si>
  <si>
    <t xml:space="preserve">Kubernetes in Practice (Jun 2026)</t>
  </si>
  <si>
    <t xml:space="preserve">NT-1034</t>
  </si>
  <si>
    <t xml:space="preserve">Venkat Prasad</t>
  </si>
  <si>
    <t xml:space="preserve">venkat.prasad@nimbustech.example</t>
  </si>
  <si>
    <t xml:space="preserve">DevOps &amp; CI/CD (L5), Cloud Computing (AWS/Azure) (L5), Docker &amp; Kubernetes (L4)</t>
  </si>
  <si>
    <t xml:space="preserve">Python (L3), Cybersecurity (L3), Testing &amp; QA (L1)</t>
  </si>
  <si>
    <t xml:space="preserve">Cloud Migration - Legacy ERP (5h); Fintech Fraud Alerts (19h); Retail Demand Forecasting (4h)</t>
  </si>
  <si>
    <t xml:space="preserve">Advanced Analytics and Storytelling (Jul 2026)</t>
  </si>
  <si>
    <t xml:space="preserve">NT-1035</t>
  </si>
  <si>
    <t xml:space="preserve">Meera Iyer</t>
  </si>
  <si>
    <t xml:space="preserve">meera.iyer@nimbustech.example</t>
  </si>
  <si>
    <t xml:space="preserve">Senior Data Analyst</t>
  </si>
  <si>
    <t xml:space="preserve">SQL (L5), Power BI / Tableau (L5), Data Analytics (L4)</t>
  </si>
  <si>
    <t xml:space="preserve">Python (L3)</t>
  </si>
  <si>
    <t xml:space="preserve">HR Analytics Dashboard (22h)</t>
  </si>
  <si>
    <t xml:space="preserve">Python Fundamentals Bootcamp (Mar 2026)</t>
  </si>
  <si>
    <t xml:space="preserve">NT-1036</t>
  </si>
  <si>
    <t xml:space="preserve">Eshwar Reddy</t>
  </si>
  <si>
    <t xml:space="preserve">eshwar.reddy@nimbustech.example</t>
  </si>
  <si>
    <t xml:space="preserve">UI/UX Design (L5), React (L2), JavaScript (L1)</t>
  </si>
  <si>
    <t xml:space="preserve">Machine Learning (L1)</t>
  </si>
  <si>
    <t xml:space="preserve">Hospital Appointment Portal (19h); Logistics Fleet Tracker App (17h)</t>
  </si>
  <si>
    <t xml:space="preserve">Cloud Solutions Architect Prep (Jul 2026)</t>
  </si>
  <si>
    <t xml:space="preserve">NT-1037</t>
  </si>
  <si>
    <t xml:space="preserve">Eshwar Rajan</t>
  </si>
  <si>
    <t xml:space="preserve">eshwar.rajan@nimbustech.example</t>
  </si>
  <si>
    <t xml:space="preserve">DevOps Engineer</t>
  </si>
  <si>
    <t xml:space="preserve">DevOps &amp; CI/CD (L5), Cloud Computing (AWS/Azure) (L5), Python (L4)</t>
  </si>
  <si>
    <t xml:space="preserve">Docker &amp; Kubernetes (L3), Cybersecurity (L3)</t>
  </si>
  <si>
    <t xml:space="preserve">HashiCorp Terraform Associate</t>
  </si>
  <si>
    <t xml:space="preserve">Cloud Migration - Legacy ERP (16h); Fintech Fraud Alerts (14h)</t>
  </si>
  <si>
    <t xml:space="preserve">Modern React Patterns (Jun 2026)</t>
  </si>
  <si>
    <t xml:space="preserve">NT-1038</t>
  </si>
  <si>
    <t xml:space="preserve">Pranav Bhat</t>
  </si>
  <si>
    <t xml:space="preserve">pranav.bhat@nimbustech.example</t>
  </si>
  <si>
    <t xml:space="preserve">DevOps &amp; CI/CD (L5), Docker &amp; Kubernetes (L5), Cloud Computing (AWS/Azure) (L5)</t>
  </si>
  <si>
    <t xml:space="preserve">Python (L2), Cybersecurity (L2), Machine Learning (L2)</t>
  </si>
  <si>
    <t xml:space="preserve">AWS Certified Solutions Architect - Associate</t>
  </si>
  <si>
    <t xml:space="preserve">Cloud Migration - Legacy ERP (24h); Logistics Fleet Tracker App (8h)</t>
  </si>
  <si>
    <t xml:space="preserve">Cloud Architecture Essentials (AWS/Azure) (Apr 2026)</t>
  </si>
  <si>
    <t xml:space="preserve">NT-1039</t>
  </si>
  <si>
    <t xml:space="preserve">Sowmya Kamath</t>
  </si>
  <si>
    <t xml:space="preserve">sowmya.kamath@nimbustech.example</t>
  </si>
  <si>
    <t xml:space="preserve">Project Management (L4), Power BI / Tableau (L3), DevOps &amp; CI/CD (L2)</t>
  </si>
  <si>
    <t xml:space="preserve">Data Analytics (L1)</t>
  </si>
  <si>
    <t xml:space="preserve">Certified ScrumMaster (CSM)</t>
  </si>
  <si>
    <t xml:space="preserve">HR Analytics Dashboard (31h); Fintech Fraud Alerts (5h)</t>
  </si>
  <si>
    <t xml:space="preserve">Agile Delivery and Risk Management (May 2026)</t>
  </si>
  <si>
    <t xml:space="preserve">NT-1040</t>
  </si>
  <si>
    <t xml:space="preserve">Ramesh Mehta</t>
  </si>
  <si>
    <t xml:space="preserve">ramesh.mehta@nimbustech.example</t>
  </si>
  <si>
    <t xml:space="preserve">Lead Backend Engineer</t>
  </si>
  <si>
    <t xml:space="preserve">Python (L5), SQL (L4), Node.js (L3)</t>
  </si>
  <si>
    <t xml:space="preserve">Docker &amp; Kubernetes (L3), Cloud Computing (AWS/Azure) (L3), Testing &amp; QA (L2), DevOps &amp; CI/CD (L2)</t>
  </si>
  <si>
    <t xml:space="preserve">Retail Demand Forecasting (12h)</t>
  </si>
  <si>
    <t xml:space="preserve">Kubernetes in Practice (Feb 2026)</t>
  </si>
  <si>
    <t xml:space="preserve">NT-1041</t>
  </si>
  <si>
    <t xml:space="preserve">Varun Nair</t>
  </si>
  <si>
    <t xml:space="preserve">varun.nair@nimbustech.example</t>
  </si>
  <si>
    <t xml:space="preserve">Principal Frontend Developer</t>
  </si>
  <si>
    <t xml:space="preserve">React (L5), JavaScript (L4), UI/UX Design (L4)</t>
  </si>
  <si>
    <t xml:space="preserve">Hospital Appointment Portal (4h); Logistics Fleet Tracker App (13h); HR Analytics Dashboard (11h)</t>
  </si>
  <si>
    <t xml:space="preserve">Cloud Architecture Essentials (AWS/Azure) (Feb 2026)</t>
  </si>
  <si>
    <t xml:space="preserve">NT-1042</t>
  </si>
  <si>
    <t xml:space="preserve">Vikram Hegde</t>
  </si>
  <si>
    <t xml:space="preserve">vikram.hegde@nimbustech.example</t>
  </si>
  <si>
    <t xml:space="preserve">Senior Cloud Engineer</t>
  </si>
  <si>
    <t xml:space="preserve">Cloud Computing (AWS/Azure) (L4), Docker &amp; Kubernetes (L4), Python (L3)</t>
  </si>
  <si>
    <t xml:space="preserve">DevOps &amp; CI/CD (L3)</t>
  </si>
  <si>
    <t xml:space="preserve">Logistics Fleet Tracker App (14h)</t>
  </si>
  <si>
    <t xml:space="preserve">NT-1043</t>
  </si>
  <si>
    <t xml:space="preserve">Arjun Shenoy</t>
  </si>
  <si>
    <t xml:space="preserve">arjun.shenoy@nimbustech.example</t>
  </si>
  <si>
    <t xml:space="preserve">Python (L3), SQL (L3), Cloud Computing (AWS/Azure) (L3)</t>
  </si>
  <si>
    <t xml:space="preserve">Retail Demand Forecasting (7h); Hospital Appointment Portal (11h); Logistics Fleet Tracker App (18h)</t>
  </si>
  <si>
    <t xml:space="preserve">Power BI Dashboard Design (Nov 2025)</t>
  </si>
  <si>
    <t xml:space="preserve">NT-1044</t>
  </si>
  <si>
    <t xml:space="preserve">Naveen Nambiar</t>
  </si>
  <si>
    <t xml:space="preserve">naveen.nambiar@nimbustech.example</t>
  </si>
  <si>
    <t xml:space="preserve">Hospital Appointment Portal (13h); Logistics Fleet Tracker App (13h)</t>
  </si>
  <si>
    <t xml:space="preserve">Advanced SQL for Analysts (Sep 2026)</t>
  </si>
  <si>
    <t xml:space="preserve">NT-1045</t>
  </si>
  <si>
    <t xml:space="preserve">Lohith Nambiar</t>
  </si>
  <si>
    <t xml:space="preserve">lohith.nambiar@nimbustech.example</t>
  </si>
  <si>
    <t xml:space="preserve">Data Analytics (L5), SQL (L5), Power BI / Tableau (L4)</t>
  </si>
  <si>
    <t xml:space="preserve">Python (L2), Testing &amp; QA (L1)</t>
  </si>
  <si>
    <t xml:space="preserve">Google Data Analytics Certificate; Microsoft Power BI Data Analyst (PL-300)</t>
  </si>
  <si>
    <t xml:space="preserve">HR Analytics Dashboard (20h); Retail Demand Forecasting (8h)</t>
  </si>
  <si>
    <t xml:space="preserve">Data Analytics with Python and SQL (Feb 2026)</t>
  </si>
  <si>
    <t xml:space="preserve">NT-1046</t>
  </si>
  <si>
    <t xml:space="preserve">Ishaan Dutta</t>
  </si>
  <si>
    <t xml:space="preserve">ishaan.dutta@nimbustech.example</t>
  </si>
  <si>
    <t xml:space="preserve">Lead Security Engineer</t>
  </si>
  <si>
    <t xml:space="preserve">Cybersecurity (L4), DevOps &amp; CI/CD (L4), Cloud Computing (AWS/Azure) (L3)</t>
  </si>
  <si>
    <t xml:space="preserve">Python (L2)</t>
  </si>
  <si>
    <t xml:space="preserve">Fintech Fraud Alerts (5h); Cloud Migration - Legacy ERP (17h); Retail Demand Forecasting (4h)</t>
  </si>
  <si>
    <t xml:space="preserve">NT-1047</t>
  </si>
  <si>
    <t xml:space="preserve">Divya Acharya</t>
  </si>
  <si>
    <t xml:space="preserve">divya.acharya@nimbustech.example</t>
  </si>
  <si>
    <t xml:space="preserve">Associate Backend Engineer</t>
  </si>
  <si>
    <t xml:space="preserve">Python (L4), Docker &amp; Kubernetes (L4), SQL (L3)</t>
  </si>
  <si>
    <t xml:space="preserve">Node.js (L3), Cloud Computing (AWS/Azure) (L3), Testing &amp; QA (L2), Cybersecurity (L1)</t>
  </si>
  <si>
    <t xml:space="preserve">Retail Demand Forecasting (5h); Logistics Fleet Tracker App (13h); Hospital Appointment Portal (16h)</t>
  </si>
  <si>
    <t xml:space="preserve">Apache Spark Essentials for Data Engineers (Jul 2026)</t>
  </si>
  <si>
    <t xml:space="preserve">NT-1048</t>
  </si>
  <si>
    <t xml:space="preserve">Gagana Ali</t>
  </si>
  <si>
    <t xml:space="preserve">gagana.ali@nimbustech.example</t>
  </si>
  <si>
    <t xml:space="preserve">Cloud Computing (AWS/Azure) (L5), DevOps &amp; CI/CD (L5), Docker &amp; Kubernetes (L3)</t>
  </si>
  <si>
    <t xml:space="preserve">Python (L2), Cybersecurity (L2)</t>
  </si>
  <si>
    <t xml:space="preserve">Cloud Migration - Legacy ERP (12h); Retail Demand Forecasting (14h)</t>
  </si>
  <si>
    <t xml:space="preserve">NT-1049</t>
  </si>
  <si>
    <t xml:space="preserve">Swathi Dutta</t>
  </si>
  <si>
    <t xml:space="preserve">swathi.dutta@nimbustech.example</t>
  </si>
  <si>
    <t xml:space="preserve">DevOps &amp; CI/CD (L4), Docker &amp; Kubernetes (L4), Cloud Computing (AWS/Azure) (L3)</t>
  </si>
  <si>
    <t xml:space="preserve">Python (L2), Cybersecurity (L2), Project Management (L2)</t>
  </si>
  <si>
    <t xml:space="preserve">Certified Kubernetes Administrator (CKA)</t>
  </si>
  <si>
    <t xml:space="preserve">Cloud Migration - Legacy ERP (7h); Logistics Fleet Tracker App (7h); Fintech Fraud Alerts (22h)</t>
  </si>
  <si>
    <t xml:space="preserve">NT-1050</t>
  </si>
  <si>
    <t xml:space="preserve">Nandini Rao</t>
  </si>
  <si>
    <t xml:space="preserve">nandini.rao@nimbustech.example</t>
  </si>
  <si>
    <t xml:space="preserve">Python (L5), Machine Learning (L5), SQL (L4)</t>
  </si>
  <si>
    <t xml:space="preserve">Data Analytics (L3)</t>
  </si>
  <si>
    <t xml:space="preserve">PCEP - Certified Entry-Level Python Programmer; Databricks ML Associate; Oracle SQL Associate</t>
  </si>
  <si>
    <t xml:space="preserve">Retail Demand Forecasting (4h); Fintech Fraud Alerts (13h); HR Analytics Dashboard (7h)</t>
  </si>
  <si>
    <t xml:space="preserve">NT-1051</t>
  </si>
  <si>
    <t xml:space="preserve">Meera Naik</t>
  </si>
  <si>
    <t xml:space="preserve">meera.naik@nimbustech.example</t>
  </si>
  <si>
    <t xml:space="preserve">Associate Data Scientist</t>
  </si>
  <si>
    <t xml:space="preserve">Python (L5), Data Analytics (L5), Machine Learning (L3)</t>
  </si>
  <si>
    <t xml:space="preserve">SQL (L3), Apache Spark (L1)</t>
  </si>
  <si>
    <t xml:space="preserve">Google Data Analytics Certificate</t>
  </si>
  <si>
    <t xml:space="preserve">Retail Demand Forecasting (11h); Fintech Fraud Alerts (25h)</t>
  </si>
  <si>
    <t xml:space="preserve">Python for Production Systems (Dec 2025)</t>
  </si>
  <si>
    <t xml:space="preserve">NT-1052</t>
  </si>
  <si>
    <t xml:space="preserve">Sowmya Gowda</t>
  </si>
  <si>
    <t xml:space="preserve">sowmya.gowda@nimbustech.example</t>
  </si>
  <si>
    <t xml:space="preserve">Testing &amp; QA (L5), JavaScript (L4), SQL (L3)</t>
  </si>
  <si>
    <t xml:space="preserve">Python (L2), Docker &amp; Kubernetes (L1)</t>
  </si>
  <si>
    <t xml:space="preserve">Hospital Appointment Portal (14h); Logistics Fleet Tracker App (7h); Retail Demand Forecasting (7h)</t>
  </si>
  <si>
    <t xml:space="preserve">Node.js APIs at Scale (Dec 2025)</t>
  </si>
  <si>
    <t xml:space="preserve">NT-1053</t>
  </si>
  <si>
    <t xml:space="preserve">Harini Iyer</t>
  </si>
  <si>
    <t xml:space="preserve">harini.iyer@nimbustech.example</t>
  </si>
  <si>
    <t xml:space="preserve">Senior Project Manager</t>
  </si>
  <si>
    <t xml:space="preserve">Project Management (L5), Power BI / Tableau (L3), SQL (L2)</t>
  </si>
  <si>
    <t xml:space="preserve">PMP</t>
  </si>
  <si>
    <t xml:space="preserve">HR Analytics Dashboard (32h); Hospital Appointment Portal (4h)</t>
  </si>
  <si>
    <t xml:space="preserve">Modern React Patterns (Jul 2026)</t>
  </si>
  <si>
    <t xml:space="preserve">NT-1054</t>
  </si>
  <si>
    <t xml:space="preserve">Aarav Iyer</t>
  </si>
  <si>
    <t xml:space="preserve">aarav.iyer@nimbustech.example</t>
  </si>
  <si>
    <t xml:space="preserve">Python (L4), Docker &amp; Kubernetes (L1)</t>
  </si>
  <si>
    <t xml:space="preserve">Microsoft Power BI Data Analyst (PL-300); PCEP - Certified Entry-Level Python Programmer</t>
  </si>
  <si>
    <t xml:space="preserve">HR Analytics Dashboard (13h); Retail Demand Forecasting (17h)</t>
  </si>
  <si>
    <t xml:space="preserve">NT-1055</t>
  </si>
  <si>
    <t xml:space="preserve">Ananya Dutta</t>
  </si>
  <si>
    <t xml:space="preserve">ananya.dutta@nimbustech.example</t>
  </si>
  <si>
    <t xml:space="preserve">Cloud Engineer</t>
  </si>
  <si>
    <t xml:space="preserve">DevOps &amp; CI/CD (L4), Cloud Computing (AWS/Azure) (L3), Docker &amp; Kubernetes (L3)</t>
  </si>
  <si>
    <t xml:space="preserve">Python (L3), Cybersecurity (L2)</t>
  </si>
  <si>
    <t xml:space="preserve">Cloud Migration - Legacy ERP (8h); Fintech Fraud Alerts (12h); Logistics Fleet Tracker App (14h)</t>
  </si>
  <si>
    <t xml:space="preserve">Cloud Solutions Architect Prep (May 2026)</t>
  </si>
  <si>
    <t xml:space="preserve">NT-1056</t>
  </si>
  <si>
    <t xml:space="preserve">Sanjay Kamath</t>
  </si>
  <si>
    <t xml:space="preserve">sanjay.kamath@nimbustech.example</t>
  </si>
  <si>
    <t xml:space="preserve">Data Analyst</t>
  </si>
  <si>
    <t xml:space="preserve">SQL (L5), Data Analytics (L4), Power BI / Tableau (L3)</t>
  </si>
  <si>
    <t xml:space="preserve">Python (L3), Machine Learning (L1)</t>
  </si>
  <si>
    <t xml:space="preserve">HR Analytics Dashboard (18h); Retail Demand Forecasting (6h)</t>
  </si>
  <si>
    <t xml:space="preserve">Secure Cloud Engineering (May 2026)</t>
  </si>
  <si>
    <t xml:space="preserve">NT-1057</t>
  </si>
  <si>
    <t xml:space="preserve">Pooja Desai</t>
  </si>
  <si>
    <t xml:space="preserve">pooja.desai@nimbustech.example</t>
  </si>
  <si>
    <t xml:space="preserve">Associate Security Engineer</t>
  </si>
  <si>
    <t xml:space="preserve">Cybersecurity (L4), Cloud Computing (AWS/Azure) (L4), Python (L4)</t>
  </si>
  <si>
    <t xml:space="preserve">DevOps &amp; CI/CD (L3), React (L2)</t>
  </si>
  <si>
    <t xml:space="preserve">Cloud Migration - Legacy ERP (15h); Fintech Fraud Alerts (12h); Retail Demand Forecasting (5h)</t>
  </si>
  <si>
    <t xml:space="preserve">Node.js APIs at Scale (Feb 2026)</t>
  </si>
  <si>
    <t xml:space="preserve">NT-1058</t>
  </si>
  <si>
    <t xml:space="preserve">Sneha Bansal</t>
  </si>
  <si>
    <t xml:space="preserve">sneha.bansal@nimbustech.example</t>
  </si>
  <si>
    <t xml:space="preserve">Senior Frontend Developer</t>
  </si>
  <si>
    <t xml:space="preserve">Testing &amp; QA (L2), Machine Learning (L1)</t>
  </si>
  <si>
    <t xml:space="preserve">Hospital Appointment Portal (4h); Logistics Fleet Tracker App (8h); Fintech Fraud Alerts (9h)</t>
  </si>
  <si>
    <t xml:space="preserve">TypeScript for JavaScript Developers (Mar 2026)</t>
  </si>
  <si>
    <t xml:space="preserve">NT-1059</t>
  </si>
  <si>
    <t xml:space="preserve">Vikram Gupta</t>
  </si>
  <si>
    <t xml:space="preserve">vikram.gupta@nimbustech.example</t>
  </si>
  <si>
    <t xml:space="preserve">Node.js (L5), JavaScript (L4), React (L4)</t>
  </si>
  <si>
    <t xml:space="preserve">SQL (L4), Docker &amp; Kubernetes (L2), Cloud Computing (AWS/Azure) (L2)</t>
  </si>
  <si>
    <t xml:space="preserve">Logistics Fleet Tracker App (31h); Hospital Appointment Portal (5h)</t>
  </si>
  <si>
    <t xml:space="preserve">Python Fundamentals Bootcamp (Sep 2026)</t>
  </si>
  <si>
    <t xml:space="preserve">NT-1060</t>
  </si>
  <si>
    <t xml:space="preserve">Mahesh Dutta</t>
  </si>
  <si>
    <t xml:space="preserve">mahesh.dutta@nimbustech.example</t>
  </si>
  <si>
    <t xml:space="preserve">JavaScript (L5), Node.js (L5), React (L4)</t>
  </si>
  <si>
    <t xml:space="preserve">SQL (L4), Docker &amp; Kubernetes (L2)</t>
  </si>
  <si>
    <t xml:space="preserve">Logistics Fleet Tracker App (5h); Hospital Appointment Portal (31h)</t>
  </si>
  <si>
    <t xml:space="preserve">Design Systems for Product Teams (Jun 2026)</t>
  </si>
  <si>
    <t xml:space="preserve">NT-1061</t>
  </si>
  <si>
    <t xml:space="preserve">Trisha Kumar</t>
  </si>
  <si>
    <t xml:space="preserve">trisha.kumar@nimbustech.example</t>
  </si>
  <si>
    <t xml:space="preserve">Docker &amp; Kubernetes (L3), Cloud Computing (AWS/Azure) (L3), Testing &amp; QA (L3)</t>
  </si>
  <si>
    <t xml:space="preserve">Hospital Appointment Portal (11h); Retail Demand Forecasting (13h)</t>
  </si>
  <si>
    <t xml:space="preserve">Advanced SQL for Analysts (Mar 2026)</t>
  </si>
  <si>
    <t xml:space="preserve">NT-1062</t>
  </si>
  <si>
    <t xml:space="preserve">Deepak Acharya</t>
  </si>
  <si>
    <t xml:space="preserve">deepak.acharya@nimbustech.example</t>
  </si>
  <si>
    <t xml:space="preserve">Docker &amp; Kubernetes (L2), Cloud Computing (AWS/Azure) (L2), Testing &amp; QA (L2)</t>
  </si>
  <si>
    <t xml:space="preserve">Hospital Appointment Portal (12h); Retail Demand Forecasting (16h)</t>
  </si>
  <si>
    <t xml:space="preserve">NT-1063</t>
  </si>
  <si>
    <t xml:space="preserve">Bhavana Hiremath</t>
  </si>
  <si>
    <t xml:space="preserve">bhavana.hiremath@nimbustech.example</t>
  </si>
  <si>
    <t xml:space="preserve">JavaScript (L5), React (L4), Node.js (L4)</t>
  </si>
  <si>
    <t xml:space="preserve">SQL (L3), Docker &amp; Kubernetes (L2)</t>
  </si>
  <si>
    <t xml:space="preserve">Logistics Fleet Tracker App (11h); Hospital Appointment Portal (25h)</t>
  </si>
  <si>
    <t xml:space="preserve">NT-1064</t>
  </si>
  <si>
    <t xml:space="preserve">Pooja Tiwari</t>
  </si>
  <si>
    <t xml:space="preserve">pooja.tiwari@nimbustech.example</t>
  </si>
  <si>
    <t xml:space="preserve">SQL (L4), Node.js (L4), Python (L3)</t>
  </si>
  <si>
    <t xml:space="preserve">Docker &amp; Kubernetes (L3), Cloud Computing (AWS/Azure) (L3), DevOps &amp; CI/CD (L2), Testing &amp; QA (L1)</t>
  </si>
  <si>
    <t xml:space="preserve">Logistics Fleet Tracker App (9h); Hospital Appointment Portal (7h); Retail Demand Forecasting (16h)</t>
  </si>
  <si>
    <t xml:space="preserve">Advanced Analytics and Storytelling (Apr 2026)</t>
  </si>
  <si>
    <t xml:space="preserve">NT-1065</t>
  </si>
  <si>
    <t xml:space="preserve">Nandini Dutta</t>
  </si>
  <si>
    <t xml:space="preserve">nandini.dutta@nimbustech.example</t>
  </si>
  <si>
    <t xml:space="preserve">Associate Cloud Engineer</t>
  </si>
  <si>
    <t xml:space="preserve">Python (L2), Power BI / Tableau (L1)</t>
  </si>
  <si>
    <t xml:space="preserve">Cloud Migration - Legacy ERP (18h); Logistics Fleet Tracker App (14h)</t>
  </si>
  <si>
    <t xml:space="preserve">Python Fundamentals Bootcamp (Jun 2026)</t>
  </si>
  <si>
    <t xml:space="preserve">NT-1066</t>
  </si>
  <si>
    <t xml:space="preserve">Omkar Jain</t>
  </si>
  <si>
    <t xml:space="preserve">omkar.jain@nimbustech.example</t>
  </si>
  <si>
    <t xml:space="preserve">Senior UI/UX Designer</t>
  </si>
  <si>
    <t xml:space="preserve">Hospital Appointment Portal (12h); Logistics Fleet Tracker App (22h)</t>
  </si>
  <si>
    <t xml:space="preserve">Node.js APIs at Scale (Mar 2026)</t>
  </si>
  <si>
    <t xml:space="preserve">NT-1067</t>
  </si>
  <si>
    <t xml:space="preserve">Karthik Nair</t>
  </si>
  <si>
    <t xml:space="preserve">karthik.nair@nimbustech.example</t>
  </si>
  <si>
    <t xml:space="preserve">Principal Cloud Engineer</t>
  </si>
  <si>
    <t xml:space="preserve">Cloud Computing (AWS/Azure) (L5), DevOps &amp; CI/CD (L4), Docker &amp; Kubernetes (L4)</t>
  </si>
  <si>
    <t xml:space="preserve">Python (L3), Cybersecurity (L3)</t>
  </si>
  <si>
    <t xml:space="preserve">Microsoft Azure Fundamentals (AZ-900); Certified Kubernetes Administrator (CKA)</t>
  </si>
  <si>
    <t xml:space="preserve">Cloud Migration - Legacy ERP (28h)</t>
  </si>
  <si>
    <t xml:space="preserve">NT-1068</t>
  </si>
  <si>
    <t xml:space="preserve">Sneha Kulkarni</t>
  </si>
  <si>
    <t xml:space="preserve">sneha.kulkarni@nimbustech.example</t>
  </si>
  <si>
    <t xml:space="preserve">Python (L4), SQL (L4), Data Analytics (L3)</t>
  </si>
  <si>
    <t xml:space="preserve">Cloud Computing (AWS/Azure) (L2)</t>
  </si>
  <si>
    <t xml:space="preserve">Hospital Appointment Portal (12h)</t>
  </si>
  <si>
    <t xml:space="preserve">NT-1069</t>
  </si>
  <si>
    <t xml:space="preserve">Mohan Bhat</t>
  </si>
  <si>
    <t xml:space="preserve">mohan.bhat@nimbustech.example</t>
  </si>
  <si>
    <t xml:space="preserve">Associate Data Analyst</t>
  </si>
  <si>
    <t xml:space="preserve">Data Analytics (L5), SQL (L5), Power BI / Tableau (L3)</t>
  </si>
  <si>
    <t xml:space="preserve">HR Analytics Dashboard (13h); Retail Demand Forecasting (13h)</t>
  </si>
  <si>
    <t xml:space="preserve">NT-1070</t>
  </si>
  <si>
    <t xml:space="preserve">Ramesh Teja</t>
  </si>
  <si>
    <t xml:space="preserve">ramesh.teja@nimbustech.example</t>
  </si>
  <si>
    <t xml:space="preserve">Testing &amp; QA (L4), JavaScript (L4), SQL (L2)</t>
  </si>
  <si>
    <t xml:space="preserve">Python (L1)</t>
  </si>
  <si>
    <t xml:space="preserve">Hospital Appointment Portal (20h); Logistics Fleet Tracker App (8h)</t>
  </si>
  <si>
    <t xml:space="preserve">CI/CD Pipelines with GitHub Actions (Feb 2026)</t>
  </si>
  <si>
    <t xml:space="preserve">NT-1071</t>
  </si>
  <si>
    <t xml:space="preserve">Imran Tiwari</t>
  </si>
  <si>
    <t xml:space="preserve">imran.tiwari@nimbustech.example</t>
  </si>
  <si>
    <t xml:space="preserve">Docker &amp; Kubernetes (L3), Cloud Computing (AWS/Azure) (L3), Testing &amp; QA (L3), React (L1)</t>
  </si>
  <si>
    <t xml:space="preserve">Hospital Appointment Portal (17h); Logistics Fleet Tracker App (13h)</t>
  </si>
  <si>
    <t xml:space="preserve">Data Analytics with Python and SQL (Jan 2026)</t>
  </si>
  <si>
    <t xml:space="preserve">NT-1072</t>
  </si>
  <si>
    <t xml:space="preserve">Pooja Reddy</t>
  </si>
  <si>
    <t xml:space="preserve">pooja.reddy@nimbustech.example</t>
  </si>
  <si>
    <t xml:space="preserve">Data Analytics (L4), Power BI / Tableau (L4), SQL (L4)</t>
  </si>
  <si>
    <t xml:space="preserve">HR Analytics Dashboard (16h)</t>
  </si>
  <si>
    <t xml:space="preserve">Advanced SQL for Analysts (Aug 2026)</t>
  </si>
  <si>
    <t xml:space="preserve">NT-1073</t>
  </si>
  <si>
    <t xml:space="preserve">Karthik Sharma</t>
  </si>
  <si>
    <t xml:space="preserve">karthik.sharma@nimbustech.example</t>
  </si>
  <si>
    <t xml:space="preserve">Docker &amp; Kubernetes (L3), SQL (L2), DevOps &amp; CI/CD (L1)</t>
  </si>
  <si>
    <t xml:space="preserve">Logistics Fleet Tracker App (20h); Hospital Appointment Portal (7h); Cloud Migration - Legacy ERP (9h)</t>
  </si>
  <si>
    <t xml:space="preserve">Advanced Analytics and Storytelling (Feb 2026)</t>
  </si>
  <si>
    <t xml:space="preserve">NT-1074</t>
  </si>
  <si>
    <t xml:space="preserve">Nikhil Sheikh</t>
  </si>
  <si>
    <t xml:space="preserve">nikhil.sheikh@nimbustech.example</t>
  </si>
  <si>
    <t xml:space="preserve">SQL (L4), Python (L3), Docker &amp; Kubernetes (L3)</t>
  </si>
  <si>
    <t xml:space="preserve">Cloud Computing (AWS/Azure) (L3), Node.js (L2), Testing &amp; QA (L2), UI/UX Design (L1)</t>
  </si>
  <si>
    <t xml:space="preserve">Retail Demand Forecasting (24h); Hospital Appointment Portal (4h)</t>
  </si>
  <si>
    <t xml:space="preserve">NT-1075</t>
  </si>
  <si>
    <t xml:space="preserve">Sneha Reddy</t>
  </si>
  <si>
    <t xml:space="preserve">sneha.reddy@nimbustech.example</t>
  </si>
  <si>
    <t xml:space="preserve">Logistics Fleet Tracker App (6h); Hospital Appointment Portal (13h); HR Analytics Dashboard (5h)</t>
  </si>
  <si>
    <t xml:space="preserve">NT-1076</t>
  </si>
  <si>
    <t xml:space="preserve">Ramesh Dutta</t>
  </si>
  <si>
    <t xml:space="preserve">ramesh.dutta@nimbustech.example</t>
  </si>
  <si>
    <t xml:space="preserve">Cloud Migration - Legacy ERP (28h); Fintech Fraud Alerts (6h)</t>
  </si>
  <si>
    <t xml:space="preserve">Test Automation with Playwright (Jun 2026)</t>
  </si>
  <si>
    <t xml:space="preserve">NT-1077</t>
  </si>
  <si>
    <t xml:space="preserve">Harsha Mishra</t>
  </si>
  <si>
    <t xml:space="preserve">harsha.mishra@nimbustech.example</t>
  </si>
  <si>
    <t xml:space="preserve">Cloud Computing (AWS/Azure) (L4), DevOps &amp; CI/CD (L4), Python (L4)</t>
  </si>
  <si>
    <t xml:space="preserve">Docker &amp; Kubernetes (L3), Cybersecurity (L1), UI/UX Design (L1)</t>
  </si>
  <si>
    <t xml:space="preserve">Certified Kubernetes Administrator (CKA); PCEP - Certified Entry-Level Python Programmer</t>
  </si>
  <si>
    <t xml:space="preserve">Cloud Migration - Legacy ERP (4h); Retail Demand Forecasting (6h); Fintech Fraud Alerts (14h)</t>
  </si>
  <si>
    <t xml:space="preserve">Test Automation with Playwright (Jan 2026)</t>
  </si>
  <si>
    <t xml:space="preserve">NT-1078</t>
  </si>
  <si>
    <t xml:space="preserve">Deepak Sharma</t>
  </si>
  <si>
    <t xml:space="preserve">deepak.sharma@nimbustech.example</t>
  </si>
  <si>
    <t xml:space="preserve">Python (L4), SQL (L4), Docker &amp; Kubernetes (L3)</t>
  </si>
  <si>
    <t xml:space="preserve">Cloud Computing (AWS/Azure) (L3), Testing &amp; QA (L3), Node.js (L2), JavaScript (L1)</t>
  </si>
  <si>
    <t xml:space="preserve">Hospital Appointment Portal (18h); Retail Demand Forecasting (14h)</t>
  </si>
  <si>
    <t xml:space="preserve">Cloud Architecture Essentials (AWS/Azure) (Nov 2025)</t>
  </si>
  <si>
    <t xml:space="preserve">NT-1079</t>
  </si>
  <si>
    <t xml:space="preserve">Nikhil Ali</t>
  </si>
  <si>
    <t xml:space="preserve">nikhil.ali@nimbustech.example</t>
  </si>
  <si>
    <t xml:space="preserve">Data Analytics (L5), SQL (L5), Power BI / Tableau (L5)</t>
  </si>
  <si>
    <t xml:space="preserve">Python (L3), Cloud Computing (AWS/Azure) (L1)</t>
  </si>
  <si>
    <t xml:space="preserve">Microsoft Power BI Data Analyst (PL-300)</t>
  </si>
  <si>
    <t xml:space="preserve">HR Analytics Dashboard (12h)</t>
  </si>
  <si>
    <t xml:space="preserve">Python Fundamentals Bootcamp (May 2026)</t>
  </si>
  <si>
    <t xml:space="preserve">NT-1080</t>
  </si>
  <si>
    <t xml:space="preserve">priya.teja@nimbustech.example</t>
  </si>
  <si>
    <t xml:space="preserve">Principal UI/UX Designer</t>
  </si>
  <si>
    <t xml:space="preserve">Applied Machine Learning (Mar 2026)</t>
  </si>
  <si>
    <t xml:space="preserve">NT-1081</t>
  </si>
  <si>
    <t xml:space="preserve">Lakshmi Pillai</t>
  </si>
  <si>
    <t xml:space="preserve">lakshmi.pillai@nimbustech.example</t>
  </si>
  <si>
    <t xml:space="preserve">Principal Security Engineer</t>
  </si>
  <si>
    <t xml:space="preserve">Cybersecurity (L4), Cloud Computing (AWS/Azure) (L4), Python (L3)</t>
  </si>
  <si>
    <t xml:space="preserve">DevOps &amp; CI/CD (L2), SQL (L1)</t>
  </si>
  <si>
    <t xml:space="preserve">Microsoft Azure Fundamentals (AZ-900)</t>
  </si>
  <si>
    <t xml:space="preserve">Cloud Migration - Legacy ERP (19h); Fintech Fraud Alerts (11h)</t>
  </si>
  <si>
    <t xml:space="preserve">NT-1082</t>
  </si>
  <si>
    <t xml:space="preserve">Harini Hiremath</t>
  </si>
  <si>
    <t xml:space="preserve">harini.hiremath@nimbustech.example</t>
  </si>
  <si>
    <t xml:space="preserve">Associate QA Engineer</t>
  </si>
  <si>
    <t xml:space="preserve">Testing &amp; QA (L5), JavaScript (L3), SQL (L3)</t>
  </si>
  <si>
    <t xml:space="preserve">Hospital Appointment Portal (4h); Retail Demand Forecasting (21h); HR Analytics Dashboard (9h)</t>
  </si>
  <si>
    <t xml:space="preserve">NT-1083</t>
  </si>
  <si>
    <t xml:space="preserve">Kavya Menon</t>
  </si>
  <si>
    <t xml:space="preserve">kavya.menon@nimbustech.example</t>
  </si>
  <si>
    <t xml:space="preserve">Assistant Project Manager</t>
  </si>
  <si>
    <t xml:space="preserve">Project Management (L5), Power BI / Tableau (L4)</t>
  </si>
  <si>
    <t xml:space="preserve">HR Analytics Dashboard (18h); Cloud Migration - Legacy ERP (6h); Retail Demand Forecasting (12h)</t>
  </si>
  <si>
    <t xml:space="preserve">Design Systems for Product Teams (Jan 2026)</t>
  </si>
  <si>
    <t xml:space="preserve">NT-1084</t>
  </si>
  <si>
    <t xml:space="preserve">Gautham Singh</t>
  </si>
  <si>
    <t xml:space="preserve">gautham.singh@nimbustech.example</t>
  </si>
  <si>
    <t xml:space="preserve">Associate UI/UX Designer</t>
  </si>
  <si>
    <t xml:space="preserve">UI/UX Design (L5), JavaScript (L2), Project Management (L2)</t>
  </si>
  <si>
    <t xml:space="preserve">Hospital Appointment Portal (4h); Logistics Fleet Tracker App (8h); HR Analytics Dashboard (12h)</t>
  </si>
  <si>
    <t xml:space="preserve">NT-1085</t>
  </si>
  <si>
    <t xml:space="preserve">Charan Sheikh</t>
  </si>
  <si>
    <t xml:space="preserve">charan.sheikh@nimbustech.example</t>
  </si>
  <si>
    <t xml:space="preserve">Machine Learning (L5), Python (L4), Data Analytics (L4)</t>
  </si>
  <si>
    <t xml:space="preserve">SQL (L4), Apache Spark (L2)</t>
  </si>
  <si>
    <t xml:space="preserve">Retail Demand Forecasting (7h); Fintech Fraud Alerts (8h); HR Analytics Dashboard (13h)</t>
  </si>
  <si>
    <t xml:space="preserve">Node.js APIs at Scale (May 2026)</t>
  </si>
  <si>
    <t xml:space="preserve">NT-1086</t>
  </si>
  <si>
    <t xml:space="preserve">Sachin Hegde</t>
  </si>
  <si>
    <t xml:space="preserve">sachin.hegde@nimbustech.example</t>
  </si>
  <si>
    <t xml:space="preserve">SQL (L5), Python (L3), Docker &amp; Kubernetes (L3)</t>
  </si>
  <si>
    <t xml:space="preserve">Cloud Computing (AWS/Azure) (L3), Testing &amp; QA (L3), Node.js (L2), UI/UX Design (L2)</t>
  </si>
  <si>
    <t xml:space="preserve">Retail Demand Forecasting (8h); Hospital Appointment Portal (14h); Logistics Fleet Tracker App (4h)</t>
  </si>
  <si>
    <t xml:space="preserve">Python Fundamentals Bootcamp (Jul 2026)</t>
  </si>
  <si>
    <t xml:space="preserve">NT-1087</t>
  </si>
  <si>
    <t xml:space="preserve">Tejas Teja</t>
  </si>
  <si>
    <t xml:space="preserve">tejas.teja@nimbustech.example</t>
  </si>
  <si>
    <t xml:space="preserve">ML Engineer</t>
  </si>
  <si>
    <t xml:space="preserve">Machine Learning (L5), Data Analytics (L4), Python (L3)</t>
  </si>
  <si>
    <t xml:space="preserve">Cloud Computing (AWS/Azure) (L3), Docker &amp; Kubernetes (L3)</t>
  </si>
  <si>
    <t xml:space="preserve">Retail Demand Forecasting (25h); Fintech Fraud Alerts (5h)</t>
  </si>
  <si>
    <t xml:space="preserve">NT-1088</t>
  </si>
  <si>
    <t xml:space="preserve">Aditya Mehta</t>
  </si>
  <si>
    <t xml:space="preserve">aditya.mehta@nimbustech.example</t>
  </si>
  <si>
    <t xml:space="preserve">Principal Data Analyst</t>
  </si>
  <si>
    <t xml:space="preserve">Data Analytics (L4), SQL (L4), Power BI / Tableau (L4)</t>
  </si>
  <si>
    <t xml:space="preserve">Google Data Analytics Certificate; Oracle SQL Associate</t>
  </si>
  <si>
    <t xml:space="preserve">HR Analytics Dashboard (14h); Retail Demand Forecasting (6h); Hospital Appointment Portal (10h)</t>
  </si>
  <si>
    <t xml:space="preserve">Modern React Patterns (Aug 2026)</t>
  </si>
  <si>
    <t xml:space="preserve">NT-1089</t>
  </si>
  <si>
    <t xml:space="preserve">Ritika Rajan</t>
  </si>
  <si>
    <t xml:space="preserve">ritika.rajan@nimbustech.example</t>
  </si>
  <si>
    <t xml:space="preserve">Python (L4), Cloud Computing (AWS/Azure) (L4), SQL (L3)</t>
  </si>
  <si>
    <t xml:space="preserve">Retail Demand Forecasting (5h); Logistics Fleet Tracker App (12h); Hospital Appointment Portal (9h)</t>
  </si>
  <si>
    <t xml:space="preserve">NT-1090</t>
  </si>
  <si>
    <t xml:space="preserve">Manoj Naik</t>
  </si>
  <si>
    <t xml:space="preserve">manoj.naik@nimbustech.example</t>
  </si>
  <si>
    <t xml:space="preserve">SQL (L5), Python (L4), Docker &amp; Kubernetes (L4)</t>
  </si>
  <si>
    <t xml:space="preserve">Node.js (L3), Cloud Computing (AWS/Azure) (L2), Testing &amp; QA (L2)</t>
  </si>
  <si>
    <t xml:space="preserve">Retail Demand Forecasting (7h); Logistics Fleet Tracker App (11h); Hospital Appointment Portal (6h)</t>
  </si>
  <si>
    <t xml:space="preserve">TypeScript for JavaScript Developers (Jun 2026)</t>
  </si>
  <si>
    <t xml:space="preserve">NT-1091</t>
  </si>
  <si>
    <t xml:space="preserve">Harini Tiwari</t>
  </si>
  <si>
    <t xml:space="preserve">harini.tiwari@nimbustech.example</t>
  </si>
  <si>
    <t xml:space="preserve">Testing &amp; QA (L5), JavaScript (L2), SQL (L2)</t>
  </si>
  <si>
    <t xml:space="preserve">Hospital Appointment Portal (6h); Fintech Fraud Alerts (5h); Retail Demand Forecasting (13h)</t>
  </si>
  <si>
    <t xml:space="preserve">NT-1092</t>
  </si>
  <si>
    <t xml:space="preserve">Rohan Shetty</t>
  </si>
  <si>
    <t xml:space="preserve">rohan.shetty@nimbustech.example</t>
  </si>
  <si>
    <t xml:space="preserve">Python (L4), SQL (L4), Cloud Computing (AWS/Azure) (L3)</t>
  </si>
  <si>
    <t xml:space="preserve">Retail Demand Forecasting (20h); Fintech Fraud Alerts (18h); Logistics Fleet Tracker App (14h)</t>
  </si>
  <si>
    <t xml:space="preserve">Cloud Solutions Architect Prep (Aug 2026)</t>
  </si>
  <si>
    <t xml:space="preserve">NT-1093</t>
  </si>
  <si>
    <t xml:space="preserve">Keerthi Teja</t>
  </si>
  <si>
    <t xml:space="preserve">keerthi.teja@nimbustech.example</t>
  </si>
  <si>
    <t xml:space="preserve">Python (L5), Machine Learning (L4), Data Analytics (L4)</t>
  </si>
  <si>
    <t xml:space="preserve">Retail Demand Forecasting (11h); Fintech Fraud Alerts (15h)</t>
  </si>
  <si>
    <t xml:space="preserve">Agile Delivery and Risk Management (Dec 2025)</t>
  </si>
  <si>
    <t xml:space="preserve">NT-1094</t>
  </si>
  <si>
    <t xml:space="preserve">Bhavana Shenoy</t>
  </si>
  <si>
    <t xml:space="preserve">bhavana.shenoy@nimbustech.example</t>
  </si>
  <si>
    <t xml:space="preserve">Python (L5), SQL (L4), Docker &amp; Kubernetes (L3)</t>
  </si>
  <si>
    <t xml:space="preserve">Cloud Computing (AWS/Azure) (L3), Testing &amp; QA (L3), Node.js (L2)</t>
  </si>
  <si>
    <t xml:space="preserve">Retail Demand Forecasting (15h); Hospital Appointment Portal (4h); Logistics Fleet Tracker App (15h)</t>
  </si>
  <si>
    <t xml:space="preserve">NT-1095</t>
  </si>
  <si>
    <t xml:space="preserve">Sachin Prasad</t>
  </si>
  <si>
    <t xml:space="preserve">sachin.prasad@nimbustech.example</t>
  </si>
  <si>
    <t xml:space="preserve">Lead Data Analyst</t>
  </si>
  <si>
    <t xml:space="preserve">SQL (L5), Power BI / Tableau (L5), Data Analytics (L3)</t>
  </si>
  <si>
    <t xml:space="preserve">HR Analytics Dashboard (16h); Hospital Appointment Portal (16h)</t>
  </si>
  <si>
    <t xml:space="preserve">NT-1096</t>
  </si>
  <si>
    <t xml:space="preserve">Arjun Patel</t>
  </si>
  <si>
    <t xml:space="preserve">arjun.patel@nimbustech.example</t>
  </si>
  <si>
    <t xml:space="preserve">Lead Cloud Engineer</t>
  </si>
  <si>
    <t xml:space="preserve">Cloud Computing (AWS/Azure) (L4), DevOps &amp; CI/CD (L4), Docker &amp; Kubernetes (L4)</t>
  </si>
  <si>
    <t xml:space="preserve">AWS Certified Solutions Architect - Associate; Certified Kubernetes Administrator (CKA)</t>
  </si>
  <si>
    <t xml:space="preserve">Cloud Migration - Legacy ERP (22h); Logistics Fleet Tracker App (14h); Fintech Fraud Alerts (12h)</t>
  </si>
  <si>
    <t xml:space="preserve">Design Systems for Product Teams (Nov 2025)</t>
  </si>
  <si>
    <t xml:space="preserve">NT-1097</t>
  </si>
  <si>
    <t xml:space="preserve">charan.jain@nimbustech.example</t>
  </si>
  <si>
    <t xml:space="preserve">SQL (L5), Power BI / Tableau (L5), Python (L4)</t>
  </si>
  <si>
    <t xml:space="preserve">Data Analytics (L3), DevOps &amp; CI/CD (L2)</t>
  </si>
  <si>
    <t xml:space="preserve">HR Analytics Dashboard (4h); Retail Demand Forecasting (20h); Hospital Appointment Portal (8h)</t>
  </si>
  <si>
    <t xml:space="preserve">NT-1098</t>
  </si>
  <si>
    <t xml:space="preserve">Omkar Sheikh</t>
  </si>
  <si>
    <t xml:space="preserve">omkar.sheikh@nimbustech.example</t>
  </si>
  <si>
    <t xml:space="preserve">Python (L4), Machine Learning (L4), Data Analytics (L4)</t>
  </si>
  <si>
    <t xml:space="preserve">PCEP - Certified Entry-Level Python Programmer; Databricks ML Associate</t>
  </si>
  <si>
    <t xml:space="preserve">Retail Demand Forecasting (18h); HR Analytics Dashboard (16h)</t>
  </si>
  <si>
    <t xml:space="preserve">NT-1099</t>
  </si>
  <si>
    <t xml:space="preserve">Omkar Kulkarni</t>
  </si>
  <si>
    <t xml:space="preserve">omkar.kulkarni@nimbustech.example</t>
  </si>
  <si>
    <t xml:space="preserve">SQL (L4), Docker &amp; Kubernetes (L4), Python (L3)</t>
  </si>
  <si>
    <t xml:space="preserve">Cloud Computing (AWS/Azure) (L3), Node.js (L2), Testing &amp; QA (L2)</t>
  </si>
  <si>
    <t xml:space="preserve">Retail Demand Forecasting (14h)</t>
  </si>
  <si>
    <t xml:space="preserve">Test Automation with Playwright (Apr 2026)</t>
  </si>
  <si>
    <t xml:space="preserve">NT-1100</t>
  </si>
  <si>
    <t xml:space="preserve">Pranav Kulkarni</t>
  </si>
  <si>
    <t xml:space="preserve">pranav.kulkarni@nimbustech.example</t>
  </si>
  <si>
    <t xml:space="preserve">Python (L5), Data Analytics (L4), SQL (L4)</t>
  </si>
  <si>
    <t xml:space="preserve">Machine Learning (L3), Apache Spark (L2)</t>
  </si>
  <si>
    <t xml:space="preserve">Retail Demand Forecasting (8h); Fintech Fraud Alerts (16h)</t>
  </si>
  <si>
    <t xml:space="preserve">NT-1101</t>
  </si>
  <si>
    <t xml:space="preserve">Naveen Nair</t>
  </si>
  <si>
    <t xml:space="preserve">naveen.nair@nimbustech.example</t>
  </si>
  <si>
    <t xml:space="preserve">Project Management (L4), Power BI / Tableau (L3), Data Analytics (L1)</t>
  </si>
  <si>
    <t xml:space="preserve">JavaScript (L1)</t>
  </si>
  <si>
    <t xml:space="preserve">HR Analytics Dashboard (6h); Logistics Fleet Tracker App (30h)</t>
  </si>
  <si>
    <t xml:space="preserve">NT-1102</t>
  </si>
  <si>
    <t xml:space="preserve">Suresh Desai</t>
  </si>
  <si>
    <t xml:space="preserve">suresh.desai@nimbustech.example</t>
  </si>
  <si>
    <t xml:space="preserve">Security Engineer</t>
  </si>
  <si>
    <t xml:space="preserve">Cybersecurity (L4), DevOps &amp; CI/CD (L3), Cloud Computing (AWS/Azure) (L2)</t>
  </si>
  <si>
    <t xml:space="preserve">Fintech Fraud Alerts (9h); Cloud Migration - Legacy ERP (25h)</t>
  </si>
  <si>
    <t xml:space="preserve">NT-1103</t>
  </si>
  <si>
    <t xml:space="preserve">Rakesh Hiremath</t>
  </si>
  <si>
    <t xml:space="preserve">rakesh.hiremath@nimbustech.example</t>
  </si>
  <si>
    <t xml:space="preserve">Project Management (L4), Power BI / Tableau (L3), UI/UX Design (L2)</t>
  </si>
  <si>
    <t xml:space="preserve">HR Analytics Dashboard (26h); Hospital Appointment Portal (10h)</t>
  </si>
  <si>
    <t xml:space="preserve">NT-1104</t>
  </si>
  <si>
    <t xml:space="preserve">Omkar Bansal</t>
  </si>
  <si>
    <t xml:space="preserve">omkar.bansal@nimbustech.example</t>
  </si>
  <si>
    <t xml:space="preserve">Machine Learning (L5), SQL (L5), Python (L4)</t>
  </si>
  <si>
    <t xml:space="preserve">Data Analytics (L4), Apache Spark (L2)</t>
  </si>
  <si>
    <t xml:space="preserve">Retail Demand Forecasting (15h); HR Analytics Dashboard (9h)</t>
  </si>
  <si>
    <t xml:space="preserve">CI/CD Pipelines with GitHub Actions (Jan 2026)</t>
  </si>
  <si>
    <t xml:space="preserve">NT-1105</t>
  </si>
  <si>
    <t xml:space="preserve">Farhan Desai</t>
  </si>
  <si>
    <t xml:space="preserve">farhan.desai@nimbustech.example</t>
  </si>
  <si>
    <t xml:space="preserve">Machine Learning (L5), Python (L4), Cloud Computing (AWS/Azure) (L3)</t>
  </si>
  <si>
    <t xml:space="preserve">Data Analytics (L3), Docker &amp; Kubernetes (L2)</t>
  </si>
  <si>
    <t xml:space="preserve">Retail Demand Forecasting (14h); Fintech Fraud Alerts (10h)</t>
  </si>
  <si>
    <t xml:space="preserve">Secure Cloud Engineering (Mar 2026)</t>
  </si>
  <si>
    <t xml:space="preserve">NT-1106</t>
  </si>
  <si>
    <t xml:space="preserve">Manoj Mishra</t>
  </si>
  <si>
    <t xml:space="preserve">manoj.mishra@nimbustech.example</t>
  </si>
  <si>
    <t xml:space="preserve">Python (L3), Node.js (L2)</t>
  </si>
  <si>
    <t xml:space="preserve">Microsoft Azure Fundamentals (AZ-900); HashiCorp Terraform Associate; Certified Kubernetes Administrator (CKA)</t>
  </si>
  <si>
    <t xml:space="preserve">Cloud Migration - Legacy ERP (4h); Logistics Fleet Tracker App (28h)</t>
  </si>
  <si>
    <t xml:space="preserve">Power BI Dashboard Design (Jan 2026)</t>
  </si>
  <si>
    <t xml:space="preserve">NT-1107</t>
  </si>
  <si>
    <t xml:space="preserve">Gautham Joshi</t>
  </si>
  <si>
    <t xml:space="preserve">gautham.joshi@nimbustech.example</t>
  </si>
  <si>
    <t xml:space="preserve">Python (L4)</t>
  </si>
  <si>
    <t xml:space="preserve">Oracle SQL Associate; PCEP - Certified Entry-Level Python Programmer</t>
  </si>
  <si>
    <t xml:space="preserve">HR Analytics Dashboard (17h); Retail Demand Forecasting (17h)</t>
  </si>
  <si>
    <t xml:space="preserve">NT-1108</t>
  </si>
  <si>
    <t xml:space="preserve">Yash Chauhan</t>
  </si>
  <si>
    <t xml:space="preserve">yash.chauhan@nimbustech.example</t>
  </si>
  <si>
    <t xml:space="preserve">Node.js (L4), JavaScript (L3), React (L3)</t>
  </si>
  <si>
    <t xml:space="preserve">SQL (L3), Docker &amp; Kubernetes (L2), Power BI / Tableau (L1)</t>
  </si>
  <si>
    <t xml:space="preserve">Kubernetes in Practice (Mar 2026)</t>
  </si>
  <si>
    <t xml:space="preserve">NT-1109</t>
  </si>
  <si>
    <t xml:space="preserve">Ananya Menon</t>
  </si>
  <si>
    <t xml:space="preserve">ananya.menon@nimbustech.example</t>
  </si>
  <si>
    <t xml:space="preserve">Lead QA Engineer</t>
  </si>
  <si>
    <t xml:space="preserve">Testing &amp; QA (L4), SQL (L4), JavaScript (L3)</t>
  </si>
  <si>
    <t xml:space="preserve">Python (L2), Machine Learning (L1)</t>
  </si>
  <si>
    <t xml:space="preserve">Hospital Appointment Portal (13h); Retail Demand Forecasting (13h)</t>
  </si>
  <si>
    <t xml:space="preserve">NT-1110</t>
  </si>
  <si>
    <t xml:space="preserve">Ananya Rao</t>
  </si>
  <si>
    <t xml:space="preserve">ananya.rao@nimbustech.example</t>
  </si>
  <si>
    <t xml:space="preserve">Lead Data Scientist</t>
  </si>
  <si>
    <t xml:space="preserve">Python (L5), Data Analytics (L5), Machine Learning (L4)</t>
  </si>
  <si>
    <t xml:space="preserve">SQL (L4), Cloud Computing (AWS/Azure) (L2), Apache Spark (L2)</t>
  </si>
  <si>
    <t xml:space="preserve">Retail Demand Forecasting (24h)</t>
  </si>
  <si>
    <t xml:space="preserve">NT-1111</t>
  </si>
  <si>
    <t xml:space="preserve">Harsha Shenoy</t>
  </si>
  <si>
    <t xml:space="preserve">harsha.shenoy@nimbustech.example</t>
  </si>
  <si>
    <t xml:space="preserve">SQL (L4), Python (L3), Cloud Computing (AWS/Azure) (L3)</t>
  </si>
  <si>
    <t xml:space="preserve">Node.js (L2), Docker &amp; Kubernetes (L2), Testing &amp; QA (L1)</t>
  </si>
  <si>
    <t xml:space="preserve">Retail Demand Forecasting (7h); Logistics Fleet Tracker App (23h)</t>
  </si>
  <si>
    <t xml:space="preserve">NT-1112</t>
  </si>
  <si>
    <t xml:space="preserve">Neha Pillai</t>
  </si>
  <si>
    <t xml:space="preserve">neha.pillai@nimbustech.example</t>
  </si>
  <si>
    <t xml:space="preserve">Hospital Appointment Portal (10h); Logistics Fleet Tracker App (16h)</t>
  </si>
  <si>
    <t xml:space="preserve">TypeScript for JavaScript Developers (Jul 2026)</t>
  </si>
  <si>
    <t xml:space="preserve">NT-1113</t>
  </si>
  <si>
    <t xml:space="preserve">Yash Bansal</t>
  </si>
  <si>
    <t xml:space="preserve">yash.bansal@nimbustech.example</t>
  </si>
  <si>
    <t xml:space="preserve">React (L5), JavaScript (L4), UI/UX Design (L3)</t>
  </si>
  <si>
    <t xml:space="preserve">Testing &amp; QA (L2), DevOps &amp; CI/CD (L2)</t>
  </si>
  <si>
    <t xml:space="preserve">Hospital Appointment Portal (16h); Logistics Fleet Tracker App (10h)</t>
  </si>
  <si>
    <t xml:space="preserve">Power BI Dashboard Design (Jul 2026)</t>
  </si>
  <si>
    <t xml:space="preserve">NT-1114</t>
  </si>
  <si>
    <t xml:space="preserve">Divya Desai</t>
  </si>
  <si>
    <t xml:space="preserve">divya.desai@nimbustech.example</t>
  </si>
  <si>
    <t xml:space="preserve">Databricks ML Associate; Oracle SQL Associate</t>
  </si>
  <si>
    <t xml:space="preserve">Retail Demand Forecasting (4h); Fintech Fraud Alerts (11h); HR Analytics Dashboard (13h)</t>
  </si>
  <si>
    <t xml:space="preserve">Agile Delivery and Risk Management (Feb 2026)</t>
  </si>
  <si>
    <t xml:space="preserve">NT-1115</t>
  </si>
  <si>
    <t xml:space="preserve">Gagana Singh</t>
  </si>
  <si>
    <t xml:space="preserve">gagana.singh@nimbustech.example</t>
  </si>
  <si>
    <t xml:space="preserve">React (L4), Node.js (L4), JavaScript (L3)</t>
  </si>
  <si>
    <t xml:space="preserve">SQL (L3), Cloud Computing (AWS/Azure) (L1)</t>
  </si>
  <si>
    <t xml:space="preserve">Logistics Fleet Tracker App (18h); Hospital Appointment Portal (14h)</t>
  </si>
  <si>
    <t xml:space="preserve">Modern React Patterns (Dec 2025)</t>
  </si>
  <si>
    <t xml:space="preserve">NT-1116</t>
  </si>
  <si>
    <t xml:space="preserve">Pallavi Hegde</t>
  </si>
  <si>
    <t xml:space="preserve">pallavi.hegde@nimbustech.example</t>
  </si>
  <si>
    <t xml:space="preserve">Principal Full-Stack Developer</t>
  </si>
  <si>
    <t xml:space="preserve">Node.js (L3), Docker &amp; Kubernetes (L3), Project Management (L2)</t>
  </si>
  <si>
    <t xml:space="preserve">Logistics Fleet Tracker App (12h); Hospital Appointment Portal (16h)</t>
  </si>
  <si>
    <t xml:space="preserve">NT-1117</t>
  </si>
  <si>
    <t xml:space="preserve">mohan.iyer@nimbustech.example</t>
  </si>
  <si>
    <t xml:space="preserve">Lead ML Engineer</t>
  </si>
  <si>
    <t xml:space="preserve">Machine Learning (L5), Python (L4), Docker &amp; Kubernetes (L3)</t>
  </si>
  <si>
    <t xml:space="preserve">Data Analytics (L3), Cloud Computing (AWS/Azure) (L2), Power BI / Tableau (L2)</t>
  </si>
  <si>
    <t xml:space="preserve">Databricks ML Associate</t>
  </si>
  <si>
    <t xml:space="preserve">Retail Demand Forecasting (9h); Fintech Fraud Alerts (13h); HR Analytics Dashboard (4h)</t>
  </si>
  <si>
    <t xml:space="preserve">NT-1118</t>
  </si>
  <si>
    <t xml:space="preserve">Harini Murthy</t>
  </si>
  <si>
    <t xml:space="preserve">harini.murthy@nimbustech.example</t>
  </si>
  <si>
    <t xml:space="preserve">Hospital Appointment Portal (7h); Retail Demand Forecasting (7h); HR Analytics Dashboard (14h)</t>
  </si>
  <si>
    <t xml:space="preserve">NT-1119</t>
  </si>
  <si>
    <t xml:space="preserve">Sneha Joshi</t>
  </si>
  <si>
    <t xml:space="preserve">sneha.joshi@nimbustech.example</t>
  </si>
  <si>
    <t xml:space="preserve">JavaScript (L4), SQL (L4), React (L3)</t>
  </si>
  <si>
    <t xml:space="preserve">Node.js (L3), Python (L2)</t>
  </si>
  <si>
    <t xml:space="preserve">Logistics Fleet Tracker App (4h); Hospital Appointment Portal (35h); Retail Demand Forecasting (9h)</t>
  </si>
  <si>
    <t xml:space="preserve">NT-1120</t>
  </si>
  <si>
    <t xml:space="preserve">Chetan Nair</t>
  </si>
  <si>
    <t xml:space="preserve">chetan.nair@nimbustech.example</t>
  </si>
  <si>
    <t xml:space="preserve">HR Analytics Dashboard (4h); Retail Demand Forecasting (22h)</t>
  </si>
  <si>
    <t xml:space="preserve">Power BI Dashboard Design (Dec 2025)</t>
  </si>
  <si>
    <t xml:space="preserve">Python</t>
  </si>
  <si>
    <t xml:space="preserve">JavaScript</t>
  </si>
  <si>
    <t xml:space="preserve">React</t>
  </si>
  <si>
    <t xml:space="preserve">Node.js</t>
  </si>
  <si>
    <t xml:space="preserve">SQL</t>
  </si>
  <si>
    <t xml:space="preserve">Cloud Computing (AWS/Azure)</t>
  </si>
  <si>
    <t xml:space="preserve">Docker &amp; Kubernetes</t>
  </si>
  <si>
    <t xml:space="preserve">DevOps &amp; CI/CD</t>
  </si>
  <si>
    <t xml:space="preserve">Data Analytics</t>
  </si>
  <si>
    <t xml:space="preserve">Power BI / Tableau</t>
  </si>
  <si>
    <t xml:space="preserve">Machine Learning</t>
  </si>
  <si>
    <t xml:space="preserve">Apache Spark</t>
  </si>
  <si>
    <t xml:space="preserve">UI/UX Design</t>
  </si>
  <si>
    <t xml:space="preserve">Testing &amp; QA</t>
  </si>
  <si>
    <t xml:space="preserve">Project Management</t>
  </si>
  <si>
    <t xml:space="preserve">Cybersecurity</t>
  </si>
  <si>
    <t xml:space="preserve">Allocation ID</t>
  </si>
  <si>
    <t xml:space="preserve">Employee</t>
  </si>
  <si>
    <t xml:space="preserve">Project ID</t>
  </si>
  <si>
    <t xml:space="preserve">Project</t>
  </si>
  <si>
    <t xml:space="preserve">Task</t>
  </si>
  <si>
    <t xml:space="preserve">Hours/Week</t>
  </si>
  <si>
    <t xml:space="preserve">Priority</t>
  </si>
  <si>
    <t xml:space="preserve">Movable</t>
  </si>
  <si>
    <t xml:space="preserve">AL-0001</t>
  </si>
  <si>
    <t xml:space="preserve">P2</t>
  </si>
  <si>
    <t xml:space="preserve">Hospital Appointment Portal</t>
  </si>
  <si>
    <t xml:space="preserve">Booking flow UI</t>
  </si>
  <si>
    <t xml:space="preserve">Low</t>
  </si>
  <si>
    <t xml:space="preserve">Yes</t>
  </si>
  <si>
    <t xml:space="preserve">AL-0002</t>
  </si>
  <si>
    <t xml:space="preserve">P5</t>
  </si>
  <si>
    <t xml:space="preserve">HR Analytics Dashboard</t>
  </si>
  <si>
    <t xml:space="preserve">KPI dashboards</t>
  </si>
  <si>
    <t xml:space="preserve">High</t>
  </si>
  <si>
    <t xml:space="preserve">AL-0003</t>
  </si>
  <si>
    <t xml:space="preserve">AL-0004</t>
  </si>
  <si>
    <t xml:space="preserve">P4</t>
  </si>
  <si>
    <t xml:space="preserve">Logistics Fleet Tracker App</t>
  </si>
  <si>
    <t xml:space="preserve">Telemetry ingestion</t>
  </si>
  <si>
    <t xml:space="preserve">AL-0005</t>
  </si>
  <si>
    <t xml:space="preserve">Medium</t>
  </si>
  <si>
    <t xml:space="preserve">AL-0006</t>
  </si>
  <si>
    <t xml:space="preserve">No</t>
  </si>
  <si>
    <t xml:space="preserve">AL-0007</t>
  </si>
  <si>
    <t xml:space="preserve">Slot scheduler API</t>
  </si>
  <si>
    <t xml:space="preserve">AL-0008</t>
  </si>
  <si>
    <t xml:space="preserve">Map view</t>
  </si>
  <si>
    <t xml:space="preserve">AL-0009</t>
  </si>
  <si>
    <t xml:space="preserve">AL-0010</t>
  </si>
  <si>
    <t xml:space="preserve">Auth service</t>
  </si>
  <si>
    <t xml:space="preserve">AL-0011</t>
  </si>
  <si>
    <t xml:space="preserve">P6</t>
  </si>
  <si>
    <t xml:space="preserve">Cloud Migration - Legacy ERP</t>
  </si>
  <si>
    <t xml:space="preserve">Infra as code</t>
  </si>
  <si>
    <t xml:space="preserve">AL-0012</t>
  </si>
  <si>
    <t xml:space="preserve">P3</t>
  </si>
  <si>
    <t xml:space="preserve">Fintech Fraud Alerts</t>
  </si>
  <si>
    <t xml:space="preserve">Alert rules engine</t>
  </si>
  <si>
    <t xml:space="preserve">AL-0013</t>
  </si>
  <si>
    <t xml:space="preserve">AL-0014</t>
  </si>
  <si>
    <t xml:space="preserve">P1</t>
  </si>
  <si>
    <t xml:space="preserve">Retail Demand Forecasting</t>
  </si>
  <si>
    <t xml:space="preserve">Forecast API</t>
  </si>
  <si>
    <t xml:space="preserve">AL-0015</t>
  </si>
  <si>
    <t xml:space="preserve">AL-0016</t>
  </si>
  <si>
    <t xml:space="preserve">AL-0017</t>
  </si>
  <si>
    <t xml:space="preserve">AL-0018</t>
  </si>
  <si>
    <t xml:space="preserve">Driver app screens</t>
  </si>
  <si>
    <t xml:space="preserve">AL-0019</t>
  </si>
  <si>
    <t xml:space="preserve">Feature engineering</t>
  </si>
  <si>
    <t xml:space="preserve">AL-0020</t>
  </si>
  <si>
    <t xml:space="preserve">Security hardening</t>
  </si>
  <si>
    <t xml:space="preserve">AL-0021</t>
  </si>
  <si>
    <t xml:space="preserve">Threat review</t>
  </si>
  <si>
    <t xml:space="preserve">AL-0022</t>
  </si>
  <si>
    <t xml:space="preserve">AL-0023</t>
  </si>
  <si>
    <t xml:space="preserve">AL-0024</t>
  </si>
  <si>
    <t xml:space="preserve">Backtesting</t>
  </si>
  <si>
    <t xml:space="preserve">AL-0025</t>
  </si>
  <si>
    <t xml:space="preserve">Data modelling</t>
  </si>
  <si>
    <t xml:space="preserve">AL-0026</t>
  </si>
  <si>
    <t xml:space="preserve">Model training</t>
  </si>
  <si>
    <t xml:space="preserve">AL-0027</t>
  </si>
  <si>
    <t xml:space="preserve">Streaming pipeline</t>
  </si>
  <si>
    <t xml:space="preserve">AL-0028</t>
  </si>
  <si>
    <t xml:space="preserve">AL-0029</t>
  </si>
  <si>
    <t xml:space="preserve">Anomaly model</t>
  </si>
  <si>
    <t xml:space="preserve">AL-0030</t>
  </si>
  <si>
    <t xml:space="preserve">AL-0031</t>
  </si>
  <si>
    <t xml:space="preserve">AL-0032</t>
  </si>
  <si>
    <t xml:space="preserve">AL-0033</t>
  </si>
  <si>
    <t xml:space="preserve">AL-0034</t>
  </si>
  <si>
    <t xml:space="preserve">AL-0035</t>
  </si>
  <si>
    <t xml:space="preserve">AL-0036</t>
  </si>
  <si>
    <t xml:space="preserve">AL-0037</t>
  </si>
  <si>
    <t xml:space="preserve">Deploy pipeline</t>
  </si>
  <si>
    <t xml:space="preserve">AL-0038</t>
  </si>
  <si>
    <t xml:space="preserve">AL-0039</t>
  </si>
  <si>
    <t xml:space="preserve">AL-0040</t>
  </si>
  <si>
    <t xml:space="preserve">AL-0041</t>
  </si>
  <si>
    <t xml:space="preserve">AL-0042</t>
  </si>
  <si>
    <t xml:space="preserve">AL-0043</t>
  </si>
  <si>
    <t xml:space="preserve">AL-0044</t>
  </si>
  <si>
    <t xml:space="preserve">AL-0045</t>
  </si>
  <si>
    <t xml:space="preserve">Network setup</t>
  </si>
  <si>
    <t xml:space="preserve">AL-0046</t>
  </si>
  <si>
    <t xml:space="preserve">AL-0047</t>
  </si>
  <si>
    <t xml:space="preserve">AL-0048</t>
  </si>
  <si>
    <t xml:space="preserve">Attrition report</t>
  </si>
  <si>
    <t xml:space="preserve">AL-0049</t>
  </si>
  <si>
    <t xml:space="preserve">Regression tests</t>
  </si>
  <si>
    <t xml:space="preserve">AL-0050</t>
  </si>
  <si>
    <t xml:space="preserve">AL-0051</t>
  </si>
  <si>
    <t xml:space="preserve">AL-0052</t>
  </si>
  <si>
    <t xml:space="preserve">AL-0053</t>
  </si>
  <si>
    <t xml:space="preserve">AL-0054</t>
  </si>
  <si>
    <t xml:space="preserve">AL-0055</t>
  </si>
  <si>
    <t xml:space="preserve">AL-0056</t>
  </si>
  <si>
    <t xml:space="preserve">AL-0057</t>
  </si>
  <si>
    <t xml:space="preserve">AL-0058</t>
  </si>
  <si>
    <t xml:space="preserve">AL-0059</t>
  </si>
  <si>
    <t xml:space="preserve">AL-0060</t>
  </si>
  <si>
    <t xml:space="preserve">AL-0061</t>
  </si>
  <si>
    <t xml:space="preserve">AL-0062</t>
  </si>
  <si>
    <t xml:space="preserve">AL-0063</t>
  </si>
  <si>
    <t xml:space="preserve">AL-0064</t>
  </si>
  <si>
    <t xml:space="preserve">AL-0065</t>
  </si>
  <si>
    <t xml:space="preserve">AL-0066</t>
  </si>
  <si>
    <t xml:space="preserve">AL-0067</t>
  </si>
  <si>
    <t xml:space="preserve">AL-0068</t>
  </si>
  <si>
    <t xml:space="preserve">AL-0069</t>
  </si>
  <si>
    <t xml:space="preserve">AL-0070</t>
  </si>
  <si>
    <t xml:space="preserve">AL-0071</t>
  </si>
  <si>
    <t xml:space="preserve">AL-0072</t>
  </si>
  <si>
    <t xml:space="preserve">AL-0073</t>
  </si>
  <si>
    <t xml:space="preserve">AL-0074</t>
  </si>
  <si>
    <t xml:space="preserve">AL-0075</t>
  </si>
  <si>
    <t xml:space="preserve">AL-0076</t>
  </si>
  <si>
    <t xml:space="preserve">AL-0077</t>
  </si>
  <si>
    <t xml:space="preserve">AL-0078</t>
  </si>
  <si>
    <t xml:space="preserve">AL-0079</t>
  </si>
  <si>
    <t xml:space="preserve">AL-0080</t>
  </si>
  <si>
    <t xml:space="preserve">AL-0081</t>
  </si>
  <si>
    <t xml:space="preserve">AL-0082</t>
  </si>
  <si>
    <t xml:space="preserve">AL-0083</t>
  </si>
  <si>
    <t xml:space="preserve">AL-0084</t>
  </si>
  <si>
    <t xml:space="preserve">AL-0085</t>
  </si>
  <si>
    <t xml:space="preserve">Data migration</t>
  </si>
  <si>
    <t xml:space="preserve">AL-0086</t>
  </si>
  <si>
    <t xml:space="preserve">AL-0087</t>
  </si>
  <si>
    <t xml:space="preserve">ETL jobs</t>
  </si>
  <si>
    <t xml:space="preserve">AL-0088</t>
  </si>
  <si>
    <t xml:space="preserve">AL-0089</t>
  </si>
  <si>
    <t xml:space="preserve">AL-0090</t>
  </si>
  <si>
    <t xml:space="preserve">AL-0091</t>
  </si>
  <si>
    <t xml:space="preserve">AL-0092</t>
  </si>
  <si>
    <t xml:space="preserve">AL-0093</t>
  </si>
  <si>
    <t xml:space="preserve">AL-0094</t>
  </si>
  <si>
    <t xml:space="preserve">AL-0095</t>
  </si>
  <si>
    <t xml:space="preserve">AL-0096</t>
  </si>
  <si>
    <t xml:space="preserve">AL-0097</t>
  </si>
  <si>
    <t xml:space="preserve">AL-0098</t>
  </si>
  <si>
    <t xml:space="preserve">AL-0099</t>
  </si>
  <si>
    <t xml:space="preserve">AL-0100</t>
  </si>
  <si>
    <t xml:space="preserve">AL-0101</t>
  </si>
  <si>
    <t xml:space="preserve">AL-0102</t>
  </si>
  <si>
    <t xml:space="preserve">AL-0103</t>
  </si>
  <si>
    <t xml:space="preserve">AL-0104</t>
  </si>
  <si>
    <t xml:space="preserve">AL-0105</t>
  </si>
  <si>
    <t xml:space="preserve">AL-0106</t>
  </si>
  <si>
    <t xml:space="preserve">AL-0107</t>
  </si>
  <si>
    <t xml:space="preserve">AL-0108</t>
  </si>
  <si>
    <t xml:space="preserve">AL-0109</t>
  </si>
  <si>
    <t xml:space="preserve">AL-0110</t>
  </si>
  <si>
    <t xml:space="preserve">AL-0111</t>
  </si>
  <si>
    <t xml:space="preserve">AL-0112</t>
  </si>
  <si>
    <t xml:space="preserve">AL-0113</t>
  </si>
  <si>
    <t xml:space="preserve">AL-0114</t>
  </si>
  <si>
    <t xml:space="preserve">AL-0115</t>
  </si>
  <si>
    <t xml:space="preserve">AL-0116</t>
  </si>
  <si>
    <t xml:space="preserve">AL-0117</t>
  </si>
  <si>
    <t xml:space="preserve">AL-0118</t>
  </si>
  <si>
    <t xml:space="preserve">AL-0119</t>
  </si>
  <si>
    <t xml:space="preserve">AL-0120</t>
  </si>
  <si>
    <t xml:space="preserve">AL-0121</t>
  </si>
  <si>
    <t xml:space="preserve">AL-0122</t>
  </si>
  <si>
    <t xml:space="preserve">AL-0123</t>
  </si>
  <si>
    <t xml:space="preserve">AL-0124</t>
  </si>
  <si>
    <t xml:space="preserve">AL-0125</t>
  </si>
  <si>
    <t xml:space="preserve">AL-0126</t>
  </si>
  <si>
    <t xml:space="preserve">AL-0127</t>
  </si>
  <si>
    <t xml:space="preserve">AL-0128</t>
  </si>
  <si>
    <t xml:space="preserve">AL-0129</t>
  </si>
  <si>
    <t xml:space="preserve">AL-0130</t>
  </si>
  <si>
    <t xml:space="preserve">AL-0131</t>
  </si>
  <si>
    <t xml:space="preserve">AL-0132</t>
  </si>
  <si>
    <t xml:space="preserve">AL-0133</t>
  </si>
  <si>
    <t xml:space="preserve">AL-0134</t>
  </si>
  <si>
    <t xml:space="preserve">AL-0135</t>
  </si>
  <si>
    <t xml:space="preserve">AL-0136</t>
  </si>
  <si>
    <t xml:space="preserve">AL-0137</t>
  </si>
  <si>
    <t xml:space="preserve">AL-0138</t>
  </si>
  <si>
    <t xml:space="preserve">AL-0139</t>
  </si>
  <si>
    <t xml:space="preserve">AL-0140</t>
  </si>
  <si>
    <t xml:space="preserve">AL-0141</t>
  </si>
  <si>
    <t xml:space="preserve">AL-0142</t>
  </si>
  <si>
    <t xml:space="preserve">AL-0143</t>
  </si>
  <si>
    <t xml:space="preserve">AL-0144</t>
  </si>
  <si>
    <t xml:space="preserve">AL-0145</t>
  </si>
  <si>
    <t xml:space="preserve">AL-0146</t>
  </si>
  <si>
    <t xml:space="preserve">AL-0147</t>
  </si>
  <si>
    <t xml:space="preserve">AL-0148</t>
  </si>
  <si>
    <t xml:space="preserve">AL-0149</t>
  </si>
  <si>
    <t xml:space="preserve">AL-0150</t>
  </si>
  <si>
    <t xml:space="preserve">AL-0151</t>
  </si>
  <si>
    <t xml:space="preserve">AL-0152</t>
  </si>
  <si>
    <t xml:space="preserve">AL-0153</t>
  </si>
  <si>
    <t xml:space="preserve">AL-0154</t>
  </si>
  <si>
    <t xml:space="preserve">AL-0155</t>
  </si>
  <si>
    <t xml:space="preserve">AL-0156</t>
  </si>
  <si>
    <t xml:space="preserve">AL-0157</t>
  </si>
  <si>
    <t xml:space="preserve">AL-0158</t>
  </si>
  <si>
    <t xml:space="preserve">AL-0159</t>
  </si>
  <si>
    <t xml:space="preserve">AL-0160</t>
  </si>
  <si>
    <t xml:space="preserve">AL-0161</t>
  </si>
  <si>
    <t xml:space="preserve">AL-0162</t>
  </si>
  <si>
    <t xml:space="preserve">AL-0163</t>
  </si>
  <si>
    <t xml:space="preserve">AL-0164</t>
  </si>
  <si>
    <t xml:space="preserve">AL-0165</t>
  </si>
  <si>
    <t xml:space="preserve">AL-0166</t>
  </si>
  <si>
    <t xml:space="preserve">AL-0167</t>
  </si>
  <si>
    <t xml:space="preserve">AL-0168</t>
  </si>
  <si>
    <t xml:space="preserve">AL-0169</t>
  </si>
  <si>
    <t xml:space="preserve">AL-0170</t>
  </si>
  <si>
    <t xml:space="preserve">AL-0171</t>
  </si>
  <si>
    <t xml:space="preserve">AL-0172</t>
  </si>
  <si>
    <t xml:space="preserve">AL-0173</t>
  </si>
  <si>
    <t xml:space="preserve">AL-0174</t>
  </si>
  <si>
    <t xml:space="preserve">AL-0175</t>
  </si>
  <si>
    <t xml:space="preserve">AL-0176</t>
  </si>
  <si>
    <t xml:space="preserve">AL-0177</t>
  </si>
  <si>
    <t xml:space="preserve">AL-0178</t>
  </si>
  <si>
    <t xml:space="preserve">AL-0179</t>
  </si>
  <si>
    <t xml:space="preserve">AL-0180</t>
  </si>
  <si>
    <t xml:space="preserve">AL-0181</t>
  </si>
  <si>
    <t xml:space="preserve">AL-0182</t>
  </si>
  <si>
    <t xml:space="preserve">AL-0183</t>
  </si>
  <si>
    <t xml:space="preserve">AL-0184</t>
  </si>
  <si>
    <t xml:space="preserve">AL-0185</t>
  </si>
  <si>
    <t xml:space="preserve">AL-0186</t>
  </si>
  <si>
    <t xml:space="preserve">AL-0187</t>
  </si>
  <si>
    <t xml:space="preserve">AL-0188</t>
  </si>
  <si>
    <t xml:space="preserve">AL-0189</t>
  </si>
  <si>
    <t xml:space="preserve">AL-0190</t>
  </si>
  <si>
    <t xml:space="preserve">AL-0191</t>
  </si>
  <si>
    <t xml:space="preserve">AL-0192</t>
  </si>
  <si>
    <t xml:space="preserve">AL-0193</t>
  </si>
  <si>
    <t xml:space="preserve">AL-0194</t>
  </si>
  <si>
    <t xml:space="preserve">AL-0195</t>
  </si>
  <si>
    <t xml:space="preserve">AL-0196</t>
  </si>
  <si>
    <t xml:space="preserve">AL-0197</t>
  </si>
  <si>
    <t xml:space="preserve">AL-0198</t>
  </si>
  <si>
    <t xml:space="preserve">AL-0199</t>
  </si>
  <si>
    <t xml:space="preserve">AL-0200</t>
  </si>
  <si>
    <t xml:space="preserve">AL-0201</t>
  </si>
  <si>
    <t xml:space="preserve">AL-0202</t>
  </si>
  <si>
    <t xml:space="preserve">AL-0203</t>
  </si>
  <si>
    <t xml:space="preserve">AL-0204</t>
  </si>
  <si>
    <t xml:space="preserve">AL-0205</t>
  </si>
  <si>
    <t xml:space="preserve">AL-0206</t>
  </si>
  <si>
    <t xml:space="preserve">AL-0207</t>
  </si>
  <si>
    <t xml:space="preserve">AL-0208</t>
  </si>
  <si>
    <t xml:space="preserve">AL-0209</t>
  </si>
  <si>
    <t xml:space="preserve">AL-0210</t>
  </si>
  <si>
    <t xml:space="preserve">AL-0211</t>
  </si>
  <si>
    <t xml:space="preserve">AL-0212</t>
  </si>
  <si>
    <t xml:space="preserve">AL-0213</t>
  </si>
  <si>
    <t xml:space="preserve">AL-0214</t>
  </si>
  <si>
    <t xml:space="preserve">AL-0215</t>
  </si>
  <si>
    <t xml:space="preserve">AL-0216</t>
  </si>
  <si>
    <t xml:space="preserve">AL-0217</t>
  </si>
  <si>
    <t xml:space="preserve">AL-0218</t>
  </si>
  <si>
    <t xml:space="preserve">AL-0219</t>
  </si>
  <si>
    <t xml:space="preserve">AL-0220</t>
  </si>
  <si>
    <t xml:space="preserve">AL-0221</t>
  </si>
  <si>
    <t xml:space="preserve">AL-0222</t>
  </si>
  <si>
    <t xml:space="preserve">AL-0223</t>
  </si>
  <si>
    <t xml:space="preserve">AL-0224</t>
  </si>
  <si>
    <t xml:space="preserve">AL-0225</t>
  </si>
  <si>
    <t xml:space="preserve">AL-0226</t>
  </si>
  <si>
    <t xml:space="preserve">AL-0227</t>
  </si>
  <si>
    <t xml:space="preserve">AL-0228</t>
  </si>
  <si>
    <t xml:space="preserve">AL-0229</t>
  </si>
  <si>
    <t xml:space="preserve">AL-0230</t>
  </si>
  <si>
    <t xml:space="preserve">AL-0231</t>
  </si>
  <si>
    <t xml:space="preserve">AL-0232</t>
  </si>
  <si>
    <t xml:space="preserve">AL-0233</t>
  </si>
  <si>
    <t xml:space="preserve">AL-0234</t>
  </si>
  <si>
    <t xml:space="preserve">AL-0235</t>
  </si>
  <si>
    <t xml:space="preserve">AL-0236</t>
  </si>
  <si>
    <t xml:space="preserve">AL-0237</t>
  </si>
  <si>
    <t xml:space="preserve">AL-0238</t>
  </si>
  <si>
    <t xml:space="preserve">AL-0239</t>
  </si>
  <si>
    <t xml:space="preserve">AL-0240</t>
  </si>
  <si>
    <t xml:space="preserve">AL-0241</t>
  </si>
  <si>
    <t xml:space="preserve">AL-0242</t>
  </si>
  <si>
    <t xml:space="preserve">AL-0243</t>
  </si>
  <si>
    <t xml:space="preserve">AL-0244</t>
  </si>
  <si>
    <t xml:space="preserve">AL-0245</t>
  </si>
  <si>
    <t xml:space="preserve">AL-0246</t>
  </si>
  <si>
    <t xml:space="preserve">AL-0247</t>
  </si>
  <si>
    <t xml:space="preserve">AL-0248</t>
  </si>
  <si>
    <t xml:space="preserve">AL-0249</t>
  </si>
  <si>
    <t xml:space="preserve">AL-0250</t>
  </si>
  <si>
    <t xml:space="preserve">AL-0251</t>
  </si>
  <si>
    <t xml:space="preserve">AL-0252</t>
  </si>
  <si>
    <t xml:space="preserve">AL-0253</t>
  </si>
  <si>
    <t xml:space="preserve">AL-0254</t>
  </si>
  <si>
    <t xml:space="preserve">AL-0255</t>
  </si>
  <si>
    <t xml:space="preserve">AL-0256</t>
  </si>
  <si>
    <t xml:space="preserve">AL-0257</t>
  </si>
  <si>
    <t xml:space="preserve">AL-0258</t>
  </si>
  <si>
    <t xml:space="preserve">AL-0259</t>
  </si>
  <si>
    <t xml:space="preserve">AL-0260</t>
  </si>
  <si>
    <t xml:space="preserve">AL-0261</t>
  </si>
  <si>
    <t xml:space="preserve">AL-0262</t>
  </si>
  <si>
    <t xml:space="preserve">AL-0263</t>
  </si>
  <si>
    <t xml:space="preserve">AL-0264</t>
  </si>
  <si>
    <t xml:space="preserve">AL-0265</t>
  </si>
  <si>
    <t xml:space="preserve">AL-0266</t>
  </si>
  <si>
    <t xml:space="preserve">AL-0267</t>
  </si>
  <si>
    <t xml:space="preserve">AL-0268</t>
  </si>
  <si>
    <t xml:space="preserve">AL-0269</t>
  </si>
  <si>
    <t xml:space="preserve">AL-0270</t>
  </si>
  <si>
    <t xml:space="preserve">AL-0271</t>
  </si>
  <si>
    <t xml:space="preserve">AL-0272</t>
  </si>
  <si>
    <t xml:space="preserve">AL-0273</t>
  </si>
  <si>
    <t xml:space="preserve">Client</t>
  </si>
  <si>
    <t xml:space="preserve">Description</t>
  </si>
  <si>
    <t xml:space="preserve">Status</t>
  </si>
  <si>
    <t xml:space="preserve">Start Date</t>
  </si>
  <si>
    <t xml:space="preserve">Deadline</t>
  </si>
  <si>
    <t xml:space="preserve">Assigned People</t>
  </si>
  <si>
    <t xml:space="preserve">Assigned Hrs/Week</t>
  </si>
  <si>
    <t xml:space="preserve">UrbanKart</t>
  </si>
  <si>
    <t xml:space="preserve">ML forecasting for store-level demand.</t>
  </si>
  <si>
    <t xml:space="preserve">Active</t>
  </si>
  <si>
    <t xml:space="preserve">CarePoint Health</t>
  </si>
  <si>
    <t xml:space="preserve">Patient booking web app.</t>
  </si>
  <si>
    <t xml:space="preserve">PayNova</t>
  </si>
  <si>
    <t xml:space="preserve">Real-time transaction anomaly alerts.</t>
  </si>
  <si>
    <t xml:space="preserve">MoveFast Logistics</t>
  </si>
  <si>
    <t xml:space="preserve">Live fleet tracking web and mobile app.</t>
  </si>
  <si>
    <t xml:space="preserve">TalentBridge</t>
  </si>
  <si>
    <t xml:space="preserve">Attrition and hiring analytics dashboards.</t>
  </si>
  <si>
    <t xml:space="preserve">SteelWorks Ltd</t>
  </si>
  <si>
    <t xml:space="preserve">Lift and modernize on-prem ERP to cloud.</t>
  </si>
  <si>
    <t xml:space="preserve">P7</t>
  </si>
  <si>
    <t xml:space="preserve">Customer Churn Analytics Platform</t>
  </si>
  <si>
    <t xml:space="preserve">TeleSure</t>
  </si>
  <si>
    <t xml:space="preserve">New project (Scenario A): churn prediction pipeline, cloud deployment, analytics dashboards.</t>
  </si>
  <si>
    <t xml:space="preserve">Planning</t>
  </si>
  <si>
    <t xml:space="preserve">Skill ID</t>
  </si>
  <si>
    <t xml:space="preserve">Skill</t>
  </si>
  <si>
    <t xml:space="preserve">Min Level</t>
  </si>
  <si>
    <t xml:space="preserve">Weight</t>
  </si>
  <si>
    <t xml:space="preserve">python</t>
  </si>
  <si>
    <t xml:space="preserve">ml</t>
  </si>
  <si>
    <t xml:space="preserve">sql</t>
  </si>
  <si>
    <t xml:space="preserve">cloud</t>
  </si>
  <si>
    <t xml:space="preserve">react</t>
  </si>
  <si>
    <t xml:space="preserve">nodejs</t>
  </si>
  <si>
    <t xml:space="preserve">uiux</t>
  </si>
  <si>
    <t xml:space="preserve">qa</t>
  </si>
  <si>
    <t xml:space="preserve">cybersecurity</t>
  </si>
  <si>
    <t xml:space="preserve">devops</t>
  </si>
  <si>
    <t xml:space="preserve">javascript</t>
  </si>
  <si>
    <t xml:space="preserve">docker_k8s</t>
  </si>
  <si>
    <t xml:space="preserve">data_analytics</t>
  </si>
  <si>
    <t xml:space="preserve">power_bi</t>
  </si>
  <si>
    <t xml:space="preserve">spark</t>
  </si>
  <si>
    <t xml:space="preserve">Course ID</t>
  </si>
  <si>
    <t xml:space="preserve">Course</t>
  </si>
  <si>
    <t xml:space="preserve">Level</t>
  </si>
  <si>
    <t xml:space="preserve">Duration (Hrs)</t>
  </si>
  <si>
    <t xml:space="preserve">Provider</t>
  </si>
  <si>
    <t xml:space="preserve">Mode</t>
  </si>
  <si>
    <t xml:space="preserve">T01</t>
  </si>
  <si>
    <t xml:space="preserve">Python for Production Systems</t>
  </si>
  <si>
    <t xml:space="preserve">Advanced</t>
  </si>
  <si>
    <t xml:space="preserve">Coursera</t>
  </si>
  <si>
    <t xml:space="preserve">Self-paced</t>
  </si>
  <si>
    <t xml:space="preserve">T02</t>
  </si>
  <si>
    <t xml:space="preserve">Python Fundamentals Bootcamp</t>
  </si>
  <si>
    <t xml:space="preserve">Beginner</t>
  </si>
  <si>
    <t xml:space="preserve">Udemy</t>
  </si>
  <si>
    <t xml:space="preserve">Instructor-led</t>
  </si>
  <si>
    <t xml:space="preserve">T03</t>
  </si>
  <si>
    <t xml:space="preserve">Cloud Architecture Essentials (AWS/Azure)</t>
  </si>
  <si>
    <t xml:space="preserve">Intermediate</t>
  </si>
  <si>
    <t xml:space="preserve">LinkedIn Learning</t>
  </si>
  <si>
    <t xml:space="preserve">T04</t>
  </si>
  <si>
    <t xml:space="preserve">Cloud Solutions Architect Prep</t>
  </si>
  <si>
    <t xml:space="preserve">Internal Learning Hub</t>
  </si>
  <si>
    <t xml:space="preserve">T05</t>
  </si>
  <si>
    <t xml:space="preserve">Data Analytics with Python and SQL</t>
  </si>
  <si>
    <t xml:space="preserve">T06</t>
  </si>
  <si>
    <t xml:space="preserve">Advanced Analytics and Storytelling</t>
  </si>
  <si>
    <t xml:space="preserve">T07</t>
  </si>
  <si>
    <t xml:space="preserve">Apache Spark Essentials for Data Engineers</t>
  </si>
  <si>
    <t xml:space="preserve">T08</t>
  </si>
  <si>
    <t xml:space="preserve">Spark Performance Tuning</t>
  </si>
  <si>
    <t xml:space="preserve">T09</t>
  </si>
  <si>
    <t xml:space="preserve">Advanced SQL for Analysts</t>
  </si>
  <si>
    <t xml:space="preserve">T10</t>
  </si>
  <si>
    <t xml:space="preserve">Power BI Dashboard Design</t>
  </si>
  <si>
    <t xml:space="preserve">T11</t>
  </si>
  <si>
    <t xml:space="preserve">Applied Machine Learning</t>
  </si>
  <si>
    <t xml:space="preserve">T12</t>
  </si>
  <si>
    <t xml:space="preserve">Kubernetes in Practice</t>
  </si>
  <si>
    <t xml:space="preserve">T13</t>
  </si>
  <si>
    <t xml:space="preserve">CI/CD Pipelines with GitHub Actions</t>
  </si>
  <si>
    <t xml:space="preserve">T14</t>
  </si>
  <si>
    <t xml:space="preserve">Secure Cloud Engineering</t>
  </si>
  <si>
    <t xml:space="preserve">T15</t>
  </si>
  <si>
    <t xml:space="preserve">Modern React Patterns</t>
  </si>
  <si>
    <t xml:space="preserve">T16</t>
  </si>
  <si>
    <t xml:space="preserve">Node.js APIs at Scale</t>
  </si>
  <si>
    <t xml:space="preserve">T17</t>
  </si>
  <si>
    <t xml:space="preserve">TypeScript for JavaScript Developers</t>
  </si>
  <si>
    <t xml:space="preserve">T18</t>
  </si>
  <si>
    <t xml:space="preserve">Design Systems for Product Teams</t>
  </si>
  <si>
    <t xml:space="preserve">T19</t>
  </si>
  <si>
    <t xml:space="preserve">Test Automation with Playwright</t>
  </si>
  <si>
    <t xml:space="preserve">T20</t>
  </si>
  <si>
    <t xml:space="preserve">Agile Delivery and Risk Management</t>
  </si>
  <si>
    <t xml:space="preserve">project_mgmt</t>
  </si>
  <si>
    <t xml:space="preserve">Category</t>
  </si>
  <si>
    <t xml:space="preserve">Programming</t>
  </si>
  <si>
    <t xml:space="preserve">Frontend</t>
  </si>
  <si>
    <t xml:space="preserve">Backend</t>
  </si>
  <si>
    <t xml:space="preserve">Data</t>
  </si>
  <si>
    <t xml:space="preserve">Infrastructure</t>
  </si>
  <si>
    <t xml:space="preserve">AI</t>
  </si>
  <si>
    <t xml:space="preserve">Quality</t>
  </si>
  <si>
    <t xml:space="preserve">Management</t>
  </si>
  <si>
    <t xml:space="preserve">Security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</si>
</sst>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%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6398C8"/>
          <bgColor rgb="FF000000"/>
        </patternFill>
      </fill>
    </dxf>
    <dxf>
      <fill>
        <patternFill patternType="solid">
          <fgColor rgb="FF97BADA"/>
          <bgColor rgb="FF000000"/>
        </patternFill>
      </fill>
    </dxf>
    <dxf>
      <fill>
        <patternFill patternType="solid">
          <fgColor rgb="FFCBD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7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46"/>
    <col collapsed="false" customWidth="true" hidden="false" outlineLevel="0" max="15" min="15" style="0" width="40"/>
    <col collapsed="false" customWidth="true" hidden="false" outlineLevel="0" max="16" min="16" style="0" width="44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21" min="19" style="0" width="11"/>
    <col collapsed="false" customWidth="true" hidden="false" outlineLevel="0" max="22" min="22" style="0" width="14"/>
    <col collapsed="false" customWidth="true" hidden="false" outlineLevel="0" max="23" min="23" style="0" width="60"/>
    <col collapsed="false" customWidth="true" hidden="false" outlineLevel="0" max="25" min="24" style="0" width="12"/>
    <col collapsed="false" customWidth="true" hidden="false" outlineLevel="0" max="26" min="26" style="0" width="48"/>
  </cols>
  <sheetData>
    <row r="1" customFormat="false" ht="33.7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6" t="s">
        <v>42</v>
      </c>
      <c r="G2" s="5" t="s">
        <v>43</v>
      </c>
      <c r="H2" s="7" t="n">
        <v>45902</v>
      </c>
      <c r="I2" s="6" t="n">
        <v>7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5"/>
      <c r="P2" s="5" t="s">
        <v>49</v>
      </c>
      <c r="Q2" s="6" t="n">
        <v>4</v>
      </c>
      <c r="R2" s="6" t="n">
        <v>40</v>
      </c>
      <c r="S2" s="6" t="n">
        <f aca="false">SUMIFS(Allocations!$G$2:$G$274,Allocations!$B$2:$B$274,A2)</f>
        <v>32</v>
      </c>
      <c r="T2" s="8" t="n">
        <f aca="false">S2/R2</f>
        <v>0.8</v>
      </c>
      <c r="U2" s="6" t="n">
        <f aca="false">R2-S2</f>
        <v>8</v>
      </c>
      <c r="V2" s="6" t="str">
        <f aca="false">IF(T2&gt;1,"Overloaded",IF(T2&lt;0.5,"Underutilized","Healthy"))</f>
        <v>Healthy</v>
      </c>
      <c r="W2" s="5" t="s">
        <v>50</v>
      </c>
      <c r="X2" s="7"/>
      <c r="Y2" s="7"/>
      <c r="Z2" s="5"/>
    </row>
    <row r="3" customFormat="false" ht="15" hidden="false" customHeight="false" outlineLevel="0" collapsed="false">
      <c r="A3" s="5" t="s">
        <v>51</v>
      </c>
      <c r="B3" s="5" t="s">
        <v>52</v>
      </c>
      <c r="C3" s="5" t="s">
        <v>53</v>
      </c>
      <c r="D3" s="5" t="s">
        <v>40</v>
      </c>
      <c r="E3" s="5" t="s">
        <v>54</v>
      </c>
      <c r="F3" s="6" t="s">
        <v>55</v>
      </c>
      <c r="G3" s="5" t="s">
        <v>43</v>
      </c>
      <c r="H3" s="7" t="n">
        <v>45363</v>
      </c>
      <c r="I3" s="6" t="n">
        <v>3</v>
      </c>
      <c r="J3" s="5" t="s">
        <v>56</v>
      </c>
      <c r="K3" s="5" t="s">
        <v>45</v>
      </c>
      <c r="L3" s="5" t="s">
        <v>46</v>
      </c>
      <c r="M3" s="5" t="s">
        <v>57</v>
      </c>
      <c r="N3" s="5" t="s">
        <v>58</v>
      </c>
      <c r="O3" s="5"/>
      <c r="P3" s="5"/>
      <c r="Q3" s="6" t="n">
        <v>3</v>
      </c>
      <c r="R3" s="6" t="n">
        <v>40</v>
      </c>
      <c r="S3" s="6" t="n">
        <f aca="false">SUMIFS(Allocations!$G$2:$G$274,Allocations!$B$2:$B$274,A3)</f>
        <v>34</v>
      </c>
      <c r="T3" s="8" t="n">
        <f aca="false">S3/R3</f>
        <v>0.85</v>
      </c>
      <c r="U3" s="6" t="n">
        <f aca="false">R3-S3</f>
        <v>6</v>
      </c>
      <c r="V3" s="6" t="str">
        <f aca="false">IF(T3&gt;1,"Overloaded",IF(T3&lt;0.5,"Underutilized","Healthy"))</f>
        <v>Healthy</v>
      </c>
      <c r="W3" s="5" t="s">
        <v>59</v>
      </c>
      <c r="X3" s="7"/>
      <c r="Y3" s="7"/>
      <c r="Z3" s="5"/>
    </row>
    <row r="4" customFormat="false" ht="15" hidden="false" customHeight="false" outlineLevel="0" collapsed="false">
      <c r="A4" s="5" t="s">
        <v>60</v>
      </c>
      <c r="B4" s="5" t="s">
        <v>61</v>
      </c>
      <c r="C4" s="5" t="s">
        <v>62</v>
      </c>
      <c r="D4" s="5" t="s">
        <v>63</v>
      </c>
      <c r="E4" s="5" t="s">
        <v>64</v>
      </c>
      <c r="F4" s="6" t="s">
        <v>55</v>
      </c>
      <c r="G4" s="5" t="s">
        <v>65</v>
      </c>
      <c r="H4" s="7" t="n">
        <v>46041</v>
      </c>
      <c r="I4" s="6" t="n">
        <v>4</v>
      </c>
      <c r="J4" s="5" t="s">
        <v>66</v>
      </c>
      <c r="K4" s="5" t="s">
        <v>67</v>
      </c>
      <c r="L4" s="5" t="s">
        <v>46</v>
      </c>
      <c r="M4" s="5" t="s">
        <v>68</v>
      </c>
      <c r="N4" s="5" t="s">
        <v>69</v>
      </c>
      <c r="O4" s="5" t="s">
        <v>70</v>
      </c>
      <c r="P4" s="5"/>
      <c r="Q4" s="6" t="n">
        <v>4</v>
      </c>
      <c r="R4" s="6" t="n">
        <v>40</v>
      </c>
      <c r="S4" s="6" t="n">
        <f aca="false">SUMIFS(Allocations!$G$2:$G$274,Allocations!$B$2:$B$274,A4)</f>
        <v>32</v>
      </c>
      <c r="T4" s="8" t="n">
        <f aca="false">S4/R4</f>
        <v>0.8</v>
      </c>
      <c r="U4" s="6" t="n">
        <f aca="false">R4-S4</f>
        <v>8</v>
      </c>
      <c r="V4" s="6" t="str">
        <f aca="false">IF(T4&gt;1,"Overloaded",IF(T4&lt;0.5,"Underutilized","Healthy"))</f>
        <v>Healthy</v>
      </c>
      <c r="W4" s="5" t="s">
        <v>71</v>
      </c>
      <c r="X4" s="7"/>
      <c r="Y4" s="7"/>
      <c r="Z4" s="5" t="s">
        <v>72</v>
      </c>
    </row>
    <row r="5" customFormat="false" ht="15" hidden="false" customHeight="false" outlineLevel="0" collapsed="false">
      <c r="A5" s="5" t="s">
        <v>73</v>
      </c>
      <c r="B5" s="5" t="s">
        <v>74</v>
      </c>
      <c r="C5" s="5" t="s">
        <v>75</v>
      </c>
      <c r="D5" s="5" t="s">
        <v>63</v>
      </c>
      <c r="E5" s="5" t="s">
        <v>64</v>
      </c>
      <c r="F5" s="6" t="s">
        <v>55</v>
      </c>
      <c r="G5" s="5" t="s">
        <v>65</v>
      </c>
      <c r="H5" s="7" t="n">
        <v>44832</v>
      </c>
      <c r="I5" s="6" t="n">
        <v>4</v>
      </c>
      <c r="J5" s="5" t="s">
        <v>56</v>
      </c>
      <c r="K5" s="5" t="s">
        <v>67</v>
      </c>
      <c r="L5" s="5" t="s">
        <v>46</v>
      </c>
      <c r="M5" s="5" t="s">
        <v>76</v>
      </c>
      <c r="N5" s="5" t="s">
        <v>77</v>
      </c>
      <c r="O5" s="5" t="s">
        <v>70</v>
      </c>
      <c r="P5" s="5"/>
      <c r="Q5" s="6" t="n">
        <v>3</v>
      </c>
      <c r="R5" s="6" t="n">
        <v>40</v>
      </c>
      <c r="S5" s="6" t="n">
        <f aca="false">SUMIFS(Allocations!$G$2:$G$274,Allocations!$B$2:$B$274,A5)</f>
        <v>24</v>
      </c>
      <c r="T5" s="8" t="n">
        <f aca="false">S5/R5</f>
        <v>0.6</v>
      </c>
      <c r="U5" s="6" t="n">
        <f aca="false">R5-S5</f>
        <v>16</v>
      </c>
      <c r="V5" s="6" t="str">
        <f aca="false">IF(T5&gt;1,"Overloaded",IF(T5&lt;0.5,"Underutilized","Healthy"))</f>
        <v>Healthy</v>
      </c>
      <c r="W5" s="5" t="s">
        <v>78</v>
      </c>
      <c r="X5" s="7" t="n">
        <v>46346</v>
      </c>
      <c r="Y5" s="7" t="n">
        <v>46351</v>
      </c>
      <c r="Z5" s="5" t="s">
        <v>79</v>
      </c>
    </row>
    <row r="6" customFormat="false" ht="15" hidden="false" customHeight="false" outlineLevel="0" collapsed="false">
      <c r="A6" s="5" t="s">
        <v>80</v>
      </c>
      <c r="B6" s="5" t="s">
        <v>81</v>
      </c>
      <c r="C6" s="5" t="s">
        <v>82</v>
      </c>
      <c r="D6" s="5" t="s">
        <v>63</v>
      </c>
      <c r="E6" s="5" t="s">
        <v>83</v>
      </c>
      <c r="F6" s="6" t="s">
        <v>42</v>
      </c>
      <c r="G6" s="5" t="s">
        <v>65</v>
      </c>
      <c r="H6" s="7" t="n">
        <v>44458</v>
      </c>
      <c r="I6" s="6" t="n">
        <v>5</v>
      </c>
      <c r="J6" s="5" t="s">
        <v>84</v>
      </c>
      <c r="K6" s="5" t="s">
        <v>45</v>
      </c>
      <c r="L6" s="5" t="s">
        <v>46</v>
      </c>
      <c r="M6" s="5" t="s">
        <v>85</v>
      </c>
      <c r="N6" s="5" t="s">
        <v>86</v>
      </c>
      <c r="O6" s="5" t="s">
        <v>87</v>
      </c>
      <c r="P6" s="5"/>
      <c r="Q6" s="6" t="n">
        <v>2</v>
      </c>
      <c r="R6" s="6" t="n">
        <v>40</v>
      </c>
      <c r="S6" s="6" t="n">
        <f aca="false">SUMIFS(Allocations!$G$2:$G$274,Allocations!$B$2:$B$274,A6)</f>
        <v>34</v>
      </c>
      <c r="T6" s="8" t="n">
        <f aca="false">S6/R6</f>
        <v>0.85</v>
      </c>
      <c r="U6" s="6" t="n">
        <f aca="false">R6-S6</f>
        <v>6</v>
      </c>
      <c r="V6" s="6" t="str">
        <f aca="false">IF(T6&gt;1,"Overloaded",IF(T6&lt;0.5,"Underutilized","Healthy"))</f>
        <v>Healthy</v>
      </c>
      <c r="W6" s="5" t="s">
        <v>88</v>
      </c>
      <c r="X6" s="7"/>
      <c r="Y6" s="7"/>
      <c r="Z6" s="5" t="s">
        <v>89</v>
      </c>
    </row>
    <row r="7" customFormat="false" ht="15" hidden="false" customHeight="false" outlineLevel="0" collapsed="false">
      <c r="A7" s="5" t="s">
        <v>90</v>
      </c>
      <c r="B7" s="5" t="s">
        <v>91</v>
      </c>
      <c r="C7" s="5" t="s">
        <v>92</v>
      </c>
      <c r="D7" s="5" t="s">
        <v>93</v>
      </c>
      <c r="E7" s="5" t="s">
        <v>94</v>
      </c>
      <c r="F7" s="6" t="s">
        <v>95</v>
      </c>
      <c r="G7" s="5" t="s">
        <v>96</v>
      </c>
      <c r="H7" s="7" t="n">
        <v>46176</v>
      </c>
      <c r="I7" s="6" t="n">
        <v>10</v>
      </c>
      <c r="J7" s="5" t="s">
        <v>84</v>
      </c>
      <c r="K7" s="5" t="s">
        <v>67</v>
      </c>
      <c r="L7" s="5" t="s">
        <v>46</v>
      </c>
      <c r="M7" s="5" t="s">
        <v>68</v>
      </c>
      <c r="N7" s="5" t="s">
        <v>97</v>
      </c>
      <c r="O7" s="5" t="s">
        <v>98</v>
      </c>
      <c r="P7" s="5" t="s">
        <v>99</v>
      </c>
      <c r="Q7" s="6" t="n">
        <v>3</v>
      </c>
      <c r="R7" s="6" t="n">
        <v>40</v>
      </c>
      <c r="S7" s="6" t="n">
        <f aca="false">SUMIFS(Allocations!$G$2:$G$274,Allocations!$B$2:$B$274,A7)</f>
        <v>28</v>
      </c>
      <c r="T7" s="8" t="n">
        <f aca="false">S7/R7</f>
        <v>0.7</v>
      </c>
      <c r="U7" s="6" t="n">
        <f aca="false">R7-S7</f>
        <v>12</v>
      </c>
      <c r="V7" s="6" t="str">
        <f aca="false">IF(T7&gt;1,"Overloaded",IF(T7&lt;0.5,"Underutilized","Healthy"))</f>
        <v>Healthy</v>
      </c>
      <c r="W7" s="5" t="s">
        <v>100</v>
      </c>
      <c r="X7" s="7"/>
      <c r="Y7" s="7"/>
      <c r="Z7" s="5" t="s">
        <v>101</v>
      </c>
    </row>
    <row r="8" customFormat="false" ht="15" hidden="false" customHeight="false" outlineLevel="0" collapsed="false">
      <c r="A8" s="5" t="s">
        <v>102</v>
      </c>
      <c r="B8" s="5" t="s">
        <v>103</v>
      </c>
      <c r="C8" s="5" t="s">
        <v>104</v>
      </c>
      <c r="D8" s="5" t="s">
        <v>63</v>
      </c>
      <c r="E8" s="5" t="s">
        <v>105</v>
      </c>
      <c r="F8" s="6" t="s">
        <v>55</v>
      </c>
      <c r="G8" s="5" t="s">
        <v>65</v>
      </c>
      <c r="H8" s="7" t="n">
        <v>45172</v>
      </c>
      <c r="I8" s="6" t="n">
        <v>3</v>
      </c>
      <c r="J8" s="5" t="s">
        <v>44</v>
      </c>
      <c r="K8" s="5" t="s">
        <v>67</v>
      </c>
      <c r="L8" s="5" t="s">
        <v>46</v>
      </c>
      <c r="M8" s="5" t="s">
        <v>57</v>
      </c>
      <c r="N8" s="5" t="s">
        <v>106</v>
      </c>
      <c r="O8" s="5" t="s">
        <v>107</v>
      </c>
      <c r="P8" s="5"/>
      <c r="Q8" s="6" t="n">
        <v>4</v>
      </c>
      <c r="R8" s="6" t="n">
        <v>40</v>
      </c>
      <c r="S8" s="6" t="n">
        <f aca="false">SUMIFS(Allocations!$G$2:$G$274,Allocations!$B$2:$B$274,A8)</f>
        <v>32</v>
      </c>
      <c r="T8" s="8" t="n">
        <f aca="false">S8/R8</f>
        <v>0.8</v>
      </c>
      <c r="U8" s="6" t="n">
        <f aca="false">R8-S8</f>
        <v>8</v>
      </c>
      <c r="V8" s="6" t="str">
        <f aca="false">IF(T8&gt;1,"Overloaded",IF(T8&lt;0.5,"Underutilized","Healthy"))</f>
        <v>Healthy</v>
      </c>
      <c r="W8" s="5" t="s">
        <v>108</v>
      </c>
      <c r="X8" s="7"/>
      <c r="Y8" s="7"/>
      <c r="Z8" s="5" t="s">
        <v>109</v>
      </c>
    </row>
    <row r="9" customFormat="false" ht="15" hidden="false" customHeight="false" outlineLevel="0" collapsed="false">
      <c r="A9" s="5" t="s">
        <v>110</v>
      </c>
      <c r="B9" s="5" t="s">
        <v>111</v>
      </c>
      <c r="C9" s="5" t="s">
        <v>112</v>
      </c>
      <c r="D9" s="5" t="s">
        <v>63</v>
      </c>
      <c r="E9" s="5" t="s">
        <v>64</v>
      </c>
      <c r="F9" s="6" t="s">
        <v>55</v>
      </c>
      <c r="G9" s="5" t="s">
        <v>65</v>
      </c>
      <c r="H9" s="7" t="n">
        <v>45144</v>
      </c>
      <c r="I9" s="6" t="n">
        <v>3</v>
      </c>
      <c r="J9" s="5" t="s">
        <v>113</v>
      </c>
      <c r="K9" s="5" t="s">
        <v>45</v>
      </c>
      <c r="L9" s="5" t="s">
        <v>46</v>
      </c>
      <c r="M9" s="5" t="s">
        <v>47</v>
      </c>
      <c r="N9" s="5" t="s">
        <v>77</v>
      </c>
      <c r="O9" s="5" t="s">
        <v>114</v>
      </c>
      <c r="P9" s="5"/>
      <c r="Q9" s="6" t="n">
        <v>4</v>
      </c>
      <c r="R9" s="6" t="n">
        <v>40</v>
      </c>
      <c r="S9" s="6" t="n">
        <f aca="false">SUMIFS(Allocations!$G$2:$G$274,Allocations!$B$2:$B$274,A9)</f>
        <v>28</v>
      </c>
      <c r="T9" s="8" t="n">
        <f aca="false">S9/R9</f>
        <v>0.7</v>
      </c>
      <c r="U9" s="6" t="n">
        <f aca="false">R9-S9</f>
        <v>12</v>
      </c>
      <c r="V9" s="6" t="str">
        <f aca="false">IF(T9&gt;1,"Overloaded",IF(T9&lt;0.5,"Underutilized","Healthy"))</f>
        <v>Healthy</v>
      </c>
      <c r="W9" s="5" t="s">
        <v>115</v>
      </c>
      <c r="X9" s="7"/>
      <c r="Y9" s="7"/>
      <c r="Z9" s="5" t="s">
        <v>116</v>
      </c>
    </row>
    <row r="10" customFormat="false" ht="15" hidden="false" customHeight="false" outlineLevel="0" collapsed="false">
      <c r="A10" s="5" t="s">
        <v>117</v>
      </c>
      <c r="B10" s="5" t="s">
        <v>96</v>
      </c>
      <c r="C10" s="5" t="s">
        <v>118</v>
      </c>
      <c r="D10" s="5" t="s">
        <v>93</v>
      </c>
      <c r="E10" s="5" t="s">
        <v>119</v>
      </c>
      <c r="F10" s="6" t="s">
        <v>120</v>
      </c>
      <c r="G10" s="5" t="s">
        <v>121</v>
      </c>
      <c r="H10" s="7" t="n">
        <v>45753</v>
      </c>
      <c r="I10" s="6" t="n">
        <v>12</v>
      </c>
      <c r="J10" s="5" t="s">
        <v>56</v>
      </c>
      <c r="K10" s="5" t="s">
        <v>45</v>
      </c>
      <c r="L10" s="5" t="s">
        <v>46</v>
      </c>
      <c r="M10" s="5" t="s">
        <v>76</v>
      </c>
      <c r="N10" s="5" t="s">
        <v>122</v>
      </c>
      <c r="O10" s="5" t="s">
        <v>123</v>
      </c>
      <c r="P10" s="5"/>
      <c r="Q10" s="6" t="n">
        <v>3</v>
      </c>
      <c r="R10" s="6" t="n">
        <v>40</v>
      </c>
      <c r="S10" s="6" t="n">
        <f aca="false">SUMIFS(Allocations!$G$2:$G$274,Allocations!$B$2:$B$274,A10)</f>
        <v>32</v>
      </c>
      <c r="T10" s="8" t="n">
        <f aca="false">S10/R10</f>
        <v>0.8</v>
      </c>
      <c r="U10" s="6" t="n">
        <f aca="false">R10-S10</f>
        <v>8</v>
      </c>
      <c r="V10" s="6" t="str">
        <f aca="false">IF(T10&gt;1,"Overloaded",IF(T10&lt;0.5,"Underutilized","Healthy"))</f>
        <v>Healthy</v>
      </c>
      <c r="W10" s="5" t="s">
        <v>124</v>
      </c>
      <c r="X10" s="7"/>
      <c r="Y10" s="7"/>
      <c r="Z10" s="5"/>
    </row>
    <row r="11" customFormat="false" ht="15" hidden="false" customHeight="false" outlineLevel="0" collapsed="false">
      <c r="A11" s="5" t="s">
        <v>125</v>
      </c>
      <c r="B11" s="5" t="s">
        <v>65</v>
      </c>
      <c r="C11" s="5" t="s">
        <v>126</v>
      </c>
      <c r="D11" s="5" t="s">
        <v>63</v>
      </c>
      <c r="E11" s="5" t="s">
        <v>127</v>
      </c>
      <c r="F11" s="6" t="s">
        <v>120</v>
      </c>
      <c r="G11" s="5" t="s">
        <v>121</v>
      </c>
      <c r="H11" s="7" t="n">
        <v>45097</v>
      </c>
      <c r="I11" s="6" t="n">
        <v>12</v>
      </c>
      <c r="J11" s="5" t="s">
        <v>44</v>
      </c>
      <c r="K11" s="5" t="s">
        <v>67</v>
      </c>
      <c r="L11" s="5" t="s">
        <v>46</v>
      </c>
      <c r="M11" s="5" t="s">
        <v>68</v>
      </c>
      <c r="N11" s="5" t="s">
        <v>128</v>
      </c>
      <c r="O11" s="5" t="s">
        <v>129</v>
      </c>
      <c r="P11" s="5"/>
      <c r="Q11" s="6" t="n">
        <v>4</v>
      </c>
      <c r="R11" s="6" t="n">
        <v>40</v>
      </c>
      <c r="S11" s="6" t="n">
        <f aca="false">SUMIFS(Allocations!$G$2:$G$274,Allocations!$B$2:$B$274,A11)</f>
        <v>36</v>
      </c>
      <c r="T11" s="8" t="n">
        <f aca="false">S11/R11</f>
        <v>0.9</v>
      </c>
      <c r="U11" s="6" t="n">
        <f aca="false">R11-S11</f>
        <v>4</v>
      </c>
      <c r="V11" s="6" t="str">
        <f aca="false">IF(T11&gt;1,"Overloaded",IF(T11&lt;0.5,"Underutilized","Healthy"))</f>
        <v>Healthy</v>
      </c>
      <c r="W11" s="5" t="s">
        <v>130</v>
      </c>
      <c r="X11" s="7"/>
      <c r="Y11" s="7"/>
      <c r="Z11" s="5" t="s">
        <v>131</v>
      </c>
    </row>
    <row r="12" customFormat="false" ht="15" hidden="false" customHeight="false" outlineLevel="0" collapsed="false">
      <c r="A12" s="5" t="s">
        <v>132</v>
      </c>
      <c r="B12" s="5" t="s">
        <v>133</v>
      </c>
      <c r="C12" s="5" t="s">
        <v>134</v>
      </c>
      <c r="D12" s="5" t="s">
        <v>135</v>
      </c>
      <c r="E12" s="5" t="s">
        <v>136</v>
      </c>
      <c r="F12" s="6" t="s">
        <v>42</v>
      </c>
      <c r="G12" s="5" t="s">
        <v>137</v>
      </c>
      <c r="H12" s="7" t="n">
        <v>45870</v>
      </c>
      <c r="I12" s="6" t="n">
        <v>7</v>
      </c>
      <c r="J12" s="5" t="s">
        <v>84</v>
      </c>
      <c r="K12" s="5" t="s">
        <v>45</v>
      </c>
      <c r="L12" s="5" t="s">
        <v>46</v>
      </c>
      <c r="M12" s="5" t="s">
        <v>47</v>
      </c>
      <c r="N12" s="5" t="s">
        <v>138</v>
      </c>
      <c r="O12" s="5" t="s">
        <v>139</v>
      </c>
      <c r="P12" s="5" t="s">
        <v>140</v>
      </c>
      <c r="Q12" s="6" t="n">
        <v>3</v>
      </c>
      <c r="R12" s="6" t="n">
        <v>40</v>
      </c>
      <c r="S12" s="6" t="n">
        <f aca="false">SUMIFS(Allocations!$G$2:$G$274,Allocations!$B$2:$B$274,A12)</f>
        <v>50</v>
      </c>
      <c r="T12" s="8" t="n">
        <f aca="false">S12/R12</f>
        <v>1.25</v>
      </c>
      <c r="U12" s="6" t="n">
        <f aca="false">R12-S12</f>
        <v>-10</v>
      </c>
      <c r="V12" s="6" t="str">
        <f aca="false">IF(T12&gt;1,"Overloaded",IF(T12&lt;0.5,"Underutilized","Healthy"))</f>
        <v>Overloaded</v>
      </c>
      <c r="W12" s="5" t="s">
        <v>141</v>
      </c>
      <c r="X12" s="7"/>
      <c r="Y12" s="7"/>
      <c r="Z12" s="5" t="s">
        <v>142</v>
      </c>
    </row>
    <row r="13" customFormat="false" ht="15" hidden="false" customHeight="false" outlineLevel="0" collapsed="false">
      <c r="A13" s="5" t="s">
        <v>143</v>
      </c>
      <c r="B13" s="5" t="s">
        <v>144</v>
      </c>
      <c r="C13" s="5" t="s">
        <v>145</v>
      </c>
      <c r="D13" s="5" t="s">
        <v>146</v>
      </c>
      <c r="E13" s="5" t="s">
        <v>147</v>
      </c>
      <c r="F13" s="6" t="s">
        <v>42</v>
      </c>
      <c r="G13" s="5" t="s">
        <v>148</v>
      </c>
      <c r="H13" s="7" t="n">
        <v>44477</v>
      </c>
      <c r="I13" s="6" t="n">
        <v>5</v>
      </c>
      <c r="J13" s="5" t="s">
        <v>84</v>
      </c>
      <c r="K13" s="5" t="s">
        <v>149</v>
      </c>
      <c r="L13" s="5" t="s">
        <v>150</v>
      </c>
      <c r="M13" s="5" t="s">
        <v>151</v>
      </c>
      <c r="N13" s="5" t="s">
        <v>152</v>
      </c>
      <c r="O13" s="5" t="s">
        <v>153</v>
      </c>
      <c r="P13" s="5" t="s">
        <v>154</v>
      </c>
      <c r="Q13" s="6" t="n">
        <v>4</v>
      </c>
      <c r="R13" s="6" t="n">
        <v>40</v>
      </c>
      <c r="S13" s="6" t="n">
        <f aca="false">SUMIFS(Allocations!$G$2:$G$274,Allocations!$B$2:$B$274,A13)</f>
        <v>32</v>
      </c>
      <c r="T13" s="8" t="n">
        <f aca="false">S13/R13</f>
        <v>0.8</v>
      </c>
      <c r="U13" s="6" t="n">
        <f aca="false">R13-S13</f>
        <v>8</v>
      </c>
      <c r="V13" s="6" t="str">
        <f aca="false">IF(T13&gt;1,"Overloaded",IF(T13&lt;0.5,"Underutilized","Healthy"))</f>
        <v>Healthy</v>
      </c>
      <c r="W13" s="5" t="s">
        <v>155</v>
      </c>
      <c r="X13" s="7"/>
      <c r="Y13" s="7"/>
      <c r="Z13" s="5" t="s">
        <v>156</v>
      </c>
    </row>
    <row r="14" customFormat="false" ht="15" hidden="false" customHeight="false" outlineLevel="0" collapsed="false">
      <c r="A14" s="5" t="s">
        <v>157</v>
      </c>
      <c r="B14" s="5" t="s">
        <v>158</v>
      </c>
      <c r="C14" s="5" t="s">
        <v>159</v>
      </c>
      <c r="D14" s="5" t="s">
        <v>63</v>
      </c>
      <c r="E14" s="5" t="s">
        <v>160</v>
      </c>
      <c r="F14" s="6" t="s">
        <v>161</v>
      </c>
      <c r="G14" s="5" t="s">
        <v>65</v>
      </c>
      <c r="H14" s="7" t="n">
        <v>46229</v>
      </c>
      <c r="I14" s="6" t="n">
        <v>2</v>
      </c>
      <c r="J14" s="5" t="s">
        <v>56</v>
      </c>
      <c r="K14" s="5" t="s">
        <v>67</v>
      </c>
      <c r="L14" s="5" t="s">
        <v>46</v>
      </c>
      <c r="M14" s="5" t="s">
        <v>76</v>
      </c>
      <c r="N14" s="5" t="s">
        <v>162</v>
      </c>
      <c r="O14" s="5" t="s">
        <v>163</v>
      </c>
      <c r="P14" s="5"/>
      <c r="Q14" s="6" t="n">
        <v>3</v>
      </c>
      <c r="R14" s="6" t="n">
        <v>40</v>
      </c>
      <c r="S14" s="6" t="n">
        <f aca="false">SUMIFS(Allocations!$G$2:$G$274,Allocations!$B$2:$B$274,A14)</f>
        <v>28</v>
      </c>
      <c r="T14" s="8" t="n">
        <f aca="false">S14/R14</f>
        <v>0.7</v>
      </c>
      <c r="U14" s="6" t="n">
        <f aca="false">R14-S14</f>
        <v>12</v>
      </c>
      <c r="V14" s="6" t="str">
        <f aca="false">IF(T14&gt;1,"Overloaded",IF(T14&lt;0.5,"Underutilized","Healthy"))</f>
        <v>Healthy</v>
      </c>
      <c r="W14" s="5" t="s">
        <v>164</v>
      </c>
      <c r="X14" s="7"/>
      <c r="Y14" s="7"/>
      <c r="Z14" s="5" t="s">
        <v>165</v>
      </c>
    </row>
    <row r="15" customFormat="false" ht="15" hidden="false" customHeight="false" outlineLevel="0" collapsed="false">
      <c r="A15" s="5" t="s">
        <v>166</v>
      </c>
      <c r="B15" s="5" t="s">
        <v>43</v>
      </c>
      <c r="C15" s="5" t="s">
        <v>167</v>
      </c>
      <c r="D15" s="5" t="s">
        <v>40</v>
      </c>
      <c r="E15" s="5" t="s">
        <v>168</v>
      </c>
      <c r="F15" s="6" t="s">
        <v>120</v>
      </c>
      <c r="G15" s="5" t="s">
        <v>121</v>
      </c>
      <c r="H15" s="7" t="n">
        <v>45209</v>
      </c>
      <c r="I15" s="6" t="n">
        <v>14</v>
      </c>
      <c r="J15" s="5" t="s">
        <v>84</v>
      </c>
      <c r="K15" s="5" t="s">
        <v>67</v>
      </c>
      <c r="L15" s="5" t="s">
        <v>150</v>
      </c>
      <c r="M15" s="5" t="s">
        <v>169</v>
      </c>
      <c r="N15" s="5" t="s">
        <v>170</v>
      </c>
      <c r="O15" s="5" t="s">
        <v>171</v>
      </c>
      <c r="P15" s="5"/>
      <c r="Q15" s="6" t="n">
        <v>2</v>
      </c>
      <c r="R15" s="6" t="n">
        <v>40</v>
      </c>
      <c r="S15" s="6" t="n">
        <f aca="false">SUMIFS(Allocations!$G$2:$G$274,Allocations!$B$2:$B$274,A15)</f>
        <v>24</v>
      </c>
      <c r="T15" s="8" t="n">
        <f aca="false">S15/R15</f>
        <v>0.6</v>
      </c>
      <c r="U15" s="6" t="n">
        <f aca="false">R15-S15</f>
        <v>16</v>
      </c>
      <c r="V15" s="6" t="str">
        <f aca="false">IF(T15&gt;1,"Overloaded",IF(T15&lt;0.5,"Underutilized","Healthy"))</f>
        <v>Healthy</v>
      </c>
      <c r="W15" s="5" t="s">
        <v>172</v>
      </c>
      <c r="X15" s="7"/>
      <c r="Y15" s="7"/>
      <c r="Z15" s="5" t="s">
        <v>173</v>
      </c>
    </row>
    <row r="16" customFormat="false" ht="15" hidden="false" customHeight="false" outlineLevel="0" collapsed="false">
      <c r="A16" s="5" t="s">
        <v>174</v>
      </c>
      <c r="B16" s="5" t="s">
        <v>175</v>
      </c>
      <c r="C16" s="5" t="s">
        <v>176</v>
      </c>
      <c r="D16" s="5" t="s">
        <v>135</v>
      </c>
      <c r="E16" s="5" t="s">
        <v>177</v>
      </c>
      <c r="F16" s="6" t="s">
        <v>55</v>
      </c>
      <c r="G16" s="5" t="s">
        <v>137</v>
      </c>
      <c r="H16" s="7" t="n">
        <v>46167</v>
      </c>
      <c r="I16" s="6" t="n">
        <v>3</v>
      </c>
      <c r="J16" s="5" t="s">
        <v>66</v>
      </c>
      <c r="K16" s="5" t="s">
        <v>67</v>
      </c>
      <c r="L16" s="5" t="s">
        <v>46</v>
      </c>
      <c r="M16" s="5" t="s">
        <v>57</v>
      </c>
      <c r="N16" s="5" t="s">
        <v>178</v>
      </c>
      <c r="O16" s="5" t="s">
        <v>179</v>
      </c>
      <c r="P16" s="5" t="s">
        <v>154</v>
      </c>
      <c r="Q16" s="6" t="n">
        <v>3</v>
      </c>
      <c r="R16" s="6" t="n">
        <v>40</v>
      </c>
      <c r="S16" s="6" t="n">
        <f aca="false">SUMIFS(Allocations!$G$2:$G$274,Allocations!$B$2:$B$274,A16)</f>
        <v>10</v>
      </c>
      <c r="T16" s="8" t="n">
        <f aca="false">S16/R16</f>
        <v>0.25</v>
      </c>
      <c r="U16" s="6" t="n">
        <f aca="false">R16-S16</f>
        <v>30</v>
      </c>
      <c r="V16" s="6" t="str">
        <f aca="false">IF(T16&gt;1,"Overloaded",IF(T16&lt;0.5,"Underutilized","Healthy"))</f>
        <v>Underutilized</v>
      </c>
      <c r="W16" s="5" t="s">
        <v>180</v>
      </c>
      <c r="X16" s="7"/>
      <c r="Y16" s="7"/>
      <c r="Z16" s="5" t="s">
        <v>181</v>
      </c>
    </row>
    <row r="17" customFormat="false" ht="15" hidden="false" customHeight="false" outlineLevel="0" collapsed="false">
      <c r="A17" s="5" t="s">
        <v>182</v>
      </c>
      <c r="B17" s="5" t="s">
        <v>183</v>
      </c>
      <c r="C17" s="5" t="s">
        <v>184</v>
      </c>
      <c r="D17" s="5" t="s">
        <v>63</v>
      </c>
      <c r="E17" s="5" t="s">
        <v>185</v>
      </c>
      <c r="F17" s="6" t="s">
        <v>42</v>
      </c>
      <c r="G17" s="5" t="s">
        <v>65</v>
      </c>
      <c r="H17" s="7" t="n">
        <v>44602</v>
      </c>
      <c r="I17" s="6" t="n">
        <v>5</v>
      </c>
      <c r="J17" s="5" t="s">
        <v>113</v>
      </c>
      <c r="K17" s="5" t="s">
        <v>67</v>
      </c>
      <c r="L17" s="5" t="s">
        <v>46</v>
      </c>
      <c r="M17" s="5" t="s">
        <v>47</v>
      </c>
      <c r="N17" s="5" t="s">
        <v>186</v>
      </c>
      <c r="O17" s="5" t="s">
        <v>187</v>
      </c>
      <c r="P17" s="5" t="s">
        <v>188</v>
      </c>
      <c r="Q17" s="6" t="n">
        <v>3</v>
      </c>
      <c r="R17" s="6" t="n">
        <v>40</v>
      </c>
      <c r="S17" s="6" t="n">
        <f aca="false">SUMIFS(Allocations!$G$2:$G$274,Allocations!$B$2:$B$274,A17)</f>
        <v>28</v>
      </c>
      <c r="T17" s="8" t="n">
        <f aca="false">S17/R17</f>
        <v>0.7</v>
      </c>
      <c r="U17" s="6" t="n">
        <f aca="false">R17-S17</f>
        <v>12</v>
      </c>
      <c r="V17" s="6" t="str">
        <f aca="false">IF(T17&gt;1,"Overloaded",IF(T17&lt;0.5,"Underutilized","Healthy"))</f>
        <v>Healthy</v>
      </c>
      <c r="W17" s="5" t="s">
        <v>189</v>
      </c>
      <c r="X17" s="7"/>
      <c r="Y17" s="7"/>
      <c r="Z17" s="5"/>
    </row>
    <row r="18" customFormat="false" ht="15" hidden="false" customHeight="false" outlineLevel="0" collapsed="false">
      <c r="A18" s="5" t="s">
        <v>190</v>
      </c>
      <c r="B18" s="5" t="s">
        <v>191</v>
      </c>
      <c r="C18" s="5" t="s">
        <v>192</v>
      </c>
      <c r="D18" s="5" t="s">
        <v>146</v>
      </c>
      <c r="E18" s="5" t="s">
        <v>193</v>
      </c>
      <c r="F18" s="6" t="s">
        <v>161</v>
      </c>
      <c r="G18" s="5" t="s">
        <v>148</v>
      </c>
      <c r="H18" s="7" t="n">
        <v>45727</v>
      </c>
      <c r="I18" s="6" t="n">
        <v>1</v>
      </c>
      <c r="J18" s="5" t="s">
        <v>84</v>
      </c>
      <c r="K18" s="5" t="s">
        <v>45</v>
      </c>
      <c r="L18" s="5" t="s">
        <v>46</v>
      </c>
      <c r="M18" s="5" t="s">
        <v>151</v>
      </c>
      <c r="N18" s="5" t="s">
        <v>194</v>
      </c>
      <c r="O18" s="5" t="s">
        <v>195</v>
      </c>
      <c r="P18" s="5" t="s">
        <v>196</v>
      </c>
      <c r="Q18" s="6" t="n">
        <v>4</v>
      </c>
      <c r="R18" s="6" t="n">
        <v>40</v>
      </c>
      <c r="S18" s="6" t="n">
        <f aca="false">SUMIFS(Allocations!$G$2:$G$274,Allocations!$B$2:$B$274,A18)</f>
        <v>36</v>
      </c>
      <c r="T18" s="8" t="n">
        <f aca="false">S18/R18</f>
        <v>0.9</v>
      </c>
      <c r="U18" s="6" t="n">
        <f aca="false">R18-S18</f>
        <v>4</v>
      </c>
      <c r="V18" s="6" t="str">
        <f aca="false">IF(T18&gt;1,"Overloaded",IF(T18&lt;0.5,"Underutilized","Healthy"))</f>
        <v>Healthy</v>
      </c>
      <c r="W18" s="5" t="s">
        <v>197</v>
      </c>
      <c r="X18" s="7"/>
      <c r="Y18" s="7"/>
      <c r="Z18" s="5" t="s">
        <v>198</v>
      </c>
    </row>
    <row r="19" customFormat="false" ht="15" hidden="false" customHeight="false" outlineLevel="0" collapsed="false">
      <c r="A19" s="5" t="s">
        <v>199</v>
      </c>
      <c r="B19" s="5" t="s">
        <v>200</v>
      </c>
      <c r="C19" s="5" t="s">
        <v>201</v>
      </c>
      <c r="D19" s="5" t="s">
        <v>202</v>
      </c>
      <c r="E19" s="5" t="s">
        <v>203</v>
      </c>
      <c r="F19" s="6" t="s">
        <v>95</v>
      </c>
      <c r="G19" s="5" t="s">
        <v>204</v>
      </c>
      <c r="H19" s="7" t="n">
        <v>43120</v>
      </c>
      <c r="I19" s="6" t="n">
        <v>10</v>
      </c>
      <c r="J19" s="5" t="s">
        <v>84</v>
      </c>
      <c r="K19" s="5" t="s">
        <v>67</v>
      </c>
      <c r="L19" s="5" t="s">
        <v>46</v>
      </c>
      <c r="M19" s="5" t="s">
        <v>76</v>
      </c>
      <c r="N19" s="5" t="s">
        <v>205</v>
      </c>
      <c r="O19" s="5" t="s">
        <v>206</v>
      </c>
      <c r="P19" s="5"/>
      <c r="Q19" s="6" t="n">
        <v>3</v>
      </c>
      <c r="R19" s="6" t="n">
        <v>40</v>
      </c>
      <c r="S19" s="6" t="n">
        <f aca="false">SUMIFS(Allocations!$G$2:$G$274,Allocations!$B$2:$B$274,A19)</f>
        <v>36</v>
      </c>
      <c r="T19" s="8" t="n">
        <f aca="false">S19/R19</f>
        <v>0.9</v>
      </c>
      <c r="U19" s="6" t="n">
        <f aca="false">R19-S19</f>
        <v>4</v>
      </c>
      <c r="V19" s="6" t="str">
        <f aca="false">IF(T19&gt;1,"Overloaded",IF(T19&lt;0.5,"Underutilized","Healthy"))</f>
        <v>Healthy</v>
      </c>
      <c r="W19" s="5" t="s">
        <v>207</v>
      </c>
      <c r="X19" s="7"/>
      <c r="Y19" s="7"/>
      <c r="Z19" s="5" t="s">
        <v>208</v>
      </c>
    </row>
    <row r="20" customFormat="false" ht="15" hidden="false" customHeight="false" outlineLevel="0" collapsed="false">
      <c r="A20" s="5" t="s">
        <v>209</v>
      </c>
      <c r="B20" s="5" t="s">
        <v>210</v>
      </c>
      <c r="C20" s="5" t="s">
        <v>211</v>
      </c>
      <c r="D20" s="5" t="s">
        <v>63</v>
      </c>
      <c r="E20" s="5" t="s">
        <v>160</v>
      </c>
      <c r="F20" s="6" t="s">
        <v>161</v>
      </c>
      <c r="G20" s="5" t="s">
        <v>65</v>
      </c>
      <c r="H20" s="7" t="n">
        <v>45945</v>
      </c>
      <c r="I20" s="6" t="n">
        <v>1</v>
      </c>
      <c r="J20" s="5" t="s">
        <v>44</v>
      </c>
      <c r="K20" s="5" t="s">
        <v>67</v>
      </c>
      <c r="L20" s="5" t="s">
        <v>46</v>
      </c>
      <c r="M20" s="5" t="s">
        <v>47</v>
      </c>
      <c r="N20" s="5" t="s">
        <v>212</v>
      </c>
      <c r="O20" s="5" t="s">
        <v>213</v>
      </c>
      <c r="P20" s="5" t="s">
        <v>214</v>
      </c>
      <c r="Q20" s="6" t="n">
        <v>3</v>
      </c>
      <c r="R20" s="6" t="n">
        <v>40</v>
      </c>
      <c r="S20" s="6" t="n">
        <f aca="false">SUMIFS(Allocations!$G$2:$G$274,Allocations!$B$2:$B$274,A20)</f>
        <v>28</v>
      </c>
      <c r="T20" s="8" t="n">
        <f aca="false">S20/R20</f>
        <v>0.7</v>
      </c>
      <c r="U20" s="6" t="n">
        <f aca="false">R20-S20</f>
        <v>12</v>
      </c>
      <c r="V20" s="6" t="str">
        <f aca="false">IF(T20&gt;1,"Overloaded",IF(T20&lt;0.5,"Underutilized","Healthy"))</f>
        <v>Healthy</v>
      </c>
      <c r="W20" s="5" t="s">
        <v>215</v>
      </c>
      <c r="X20" s="7"/>
      <c r="Y20" s="7"/>
      <c r="Z20" s="5" t="s">
        <v>156</v>
      </c>
    </row>
    <row r="21" customFormat="false" ht="15" hidden="false" customHeight="false" outlineLevel="0" collapsed="false">
      <c r="A21" s="5" t="s">
        <v>216</v>
      </c>
      <c r="B21" s="5" t="s">
        <v>217</v>
      </c>
      <c r="C21" s="5" t="s">
        <v>218</v>
      </c>
      <c r="D21" s="5" t="s">
        <v>93</v>
      </c>
      <c r="E21" s="5" t="s">
        <v>219</v>
      </c>
      <c r="F21" s="6" t="s">
        <v>42</v>
      </c>
      <c r="G21" s="5" t="s">
        <v>96</v>
      </c>
      <c r="H21" s="7" t="n">
        <v>45452</v>
      </c>
      <c r="I21" s="6" t="n">
        <v>6</v>
      </c>
      <c r="J21" s="5" t="s">
        <v>84</v>
      </c>
      <c r="K21" s="5" t="s">
        <v>67</v>
      </c>
      <c r="L21" s="5" t="s">
        <v>150</v>
      </c>
      <c r="M21" s="5" t="s">
        <v>85</v>
      </c>
      <c r="N21" s="5" t="s">
        <v>122</v>
      </c>
      <c r="O21" s="5" t="s">
        <v>220</v>
      </c>
      <c r="P21" s="5"/>
      <c r="Q21" s="6" t="n">
        <v>3</v>
      </c>
      <c r="R21" s="6" t="n">
        <v>40</v>
      </c>
      <c r="S21" s="6" t="n">
        <f aca="false">SUMIFS(Allocations!$G$2:$G$274,Allocations!$B$2:$B$274,A21)</f>
        <v>16</v>
      </c>
      <c r="T21" s="8" t="n">
        <f aca="false">S21/R21</f>
        <v>0.4</v>
      </c>
      <c r="U21" s="6" t="n">
        <f aca="false">R21-S21</f>
        <v>24</v>
      </c>
      <c r="V21" s="6" t="str">
        <f aca="false">IF(T21&gt;1,"Overloaded",IF(T21&lt;0.5,"Underutilized","Healthy"))</f>
        <v>Underutilized</v>
      </c>
      <c r="W21" s="5" t="s">
        <v>221</v>
      </c>
      <c r="X21" s="7"/>
      <c r="Y21" s="7"/>
      <c r="Z21" s="5" t="s">
        <v>222</v>
      </c>
    </row>
    <row r="22" customFormat="false" ht="15" hidden="false" customHeight="false" outlineLevel="0" collapsed="false">
      <c r="A22" s="5" t="s">
        <v>223</v>
      </c>
      <c r="B22" s="5" t="s">
        <v>224</v>
      </c>
      <c r="C22" s="5" t="s">
        <v>225</v>
      </c>
      <c r="D22" s="5" t="s">
        <v>63</v>
      </c>
      <c r="E22" s="5" t="s">
        <v>226</v>
      </c>
      <c r="F22" s="6" t="s">
        <v>95</v>
      </c>
      <c r="G22" s="5" t="s">
        <v>65</v>
      </c>
      <c r="H22" s="7" t="n">
        <v>46100</v>
      </c>
      <c r="I22" s="6" t="n">
        <v>9</v>
      </c>
      <c r="J22" s="5" t="s">
        <v>84</v>
      </c>
      <c r="K22" s="5" t="s">
        <v>67</v>
      </c>
      <c r="L22" s="5" t="s">
        <v>46</v>
      </c>
      <c r="M22" s="5" t="s">
        <v>76</v>
      </c>
      <c r="N22" s="5" t="s">
        <v>227</v>
      </c>
      <c r="O22" s="5" t="s">
        <v>228</v>
      </c>
      <c r="P22" s="5"/>
      <c r="Q22" s="6" t="n">
        <v>3</v>
      </c>
      <c r="R22" s="6" t="n">
        <v>40</v>
      </c>
      <c r="S22" s="6" t="n">
        <f aca="false">SUMIFS(Allocations!$G$2:$G$274,Allocations!$B$2:$B$274,A22)</f>
        <v>28</v>
      </c>
      <c r="T22" s="8" t="n">
        <f aca="false">S22/R22</f>
        <v>0.7</v>
      </c>
      <c r="U22" s="6" t="n">
        <f aca="false">R22-S22</f>
        <v>12</v>
      </c>
      <c r="V22" s="6" t="str">
        <f aca="false">IF(T22&gt;1,"Overloaded",IF(T22&lt;0.5,"Underutilized","Healthy"))</f>
        <v>Healthy</v>
      </c>
      <c r="W22" s="5" t="s">
        <v>229</v>
      </c>
      <c r="X22" s="7"/>
      <c r="Y22" s="7"/>
      <c r="Z22" s="5" t="s">
        <v>230</v>
      </c>
    </row>
    <row r="23" customFormat="false" ht="15" hidden="false" customHeight="false" outlineLevel="0" collapsed="false">
      <c r="A23" s="5" t="s">
        <v>231</v>
      </c>
      <c r="B23" s="5" t="s">
        <v>232</v>
      </c>
      <c r="C23" s="5" t="s">
        <v>233</v>
      </c>
      <c r="D23" s="5" t="s">
        <v>63</v>
      </c>
      <c r="E23" s="5" t="s">
        <v>185</v>
      </c>
      <c r="F23" s="6" t="s">
        <v>42</v>
      </c>
      <c r="G23" s="5" t="s">
        <v>65</v>
      </c>
      <c r="H23" s="7" t="n">
        <v>45212</v>
      </c>
      <c r="I23" s="6" t="n">
        <v>5</v>
      </c>
      <c r="J23" s="5" t="s">
        <v>84</v>
      </c>
      <c r="K23" s="5" t="s">
        <v>149</v>
      </c>
      <c r="L23" s="5" t="s">
        <v>46</v>
      </c>
      <c r="M23" s="5" t="s">
        <v>57</v>
      </c>
      <c r="N23" s="5" t="s">
        <v>234</v>
      </c>
      <c r="O23" s="5" t="s">
        <v>235</v>
      </c>
      <c r="P23" s="5"/>
      <c r="Q23" s="6" t="n">
        <v>3</v>
      </c>
      <c r="R23" s="6" t="n">
        <v>40</v>
      </c>
      <c r="S23" s="6" t="n">
        <f aca="false">SUMIFS(Allocations!$G$2:$G$274,Allocations!$B$2:$B$274,A23)</f>
        <v>34</v>
      </c>
      <c r="T23" s="8" t="n">
        <f aca="false">S23/R23</f>
        <v>0.85</v>
      </c>
      <c r="U23" s="6" t="n">
        <f aca="false">R23-S23</f>
        <v>6</v>
      </c>
      <c r="V23" s="6" t="str">
        <f aca="false">IF(T23&gt;1,"Overloaded",IF(T23&lt;0.5,"Underutilized","Healthy"))</f>
        <v>Healthy</v>
      </c>
      <c r="W23" s="5" t="s">
        <v>236</v>
      </c>
      <c r="X23" s="7"/>
      <c r="Y23" s="7"/>
      <c r="Z23" s="5" t="s">
        <v>237</v>
      </c>
    </row>
    <row r="24" customFormat="false" ht="15" hidden="false" customHeight="false" outlineLevel="0" collapsed="false">
      <c r="A24" s="5" t="s">
        <v>238</v>
      </c>
      <c r="B24" s="5" t="s">
        <v>239</v>
      </c>
      <c r="C24" s="5" t="s">
        <v>240</v>
      </c>
      <c r="D24" s="5" t="s">
        <v>146</v>
      </c>
      <c r="E24" s="5" t="s">
        <v>147</v>
      </c>
      <c r="F24" s="6" t="s">
        <v>42</v>
      </c>
      <c r="G24" s="5" t="s">
        <v>148</v>
      </c>
      <c r="H24" s="7" t="n">
        <v>44093</v>
      </c>
      <c r="I24" s="6" t="n">
        <v>7</v>
      </c>
      <c r="J24" s="5" t="s">
        <v>113</v>
      </c>
      <c r="K24" s="5" t="s">
        <v>45</v>
      </c>
      <c r="L24" s="5" t="s">
        <v>46</v>
      </c>
      <c r="M24" s="5" t="s">
        <v>151</v>
      </c>
      <c r="N24" s="5" t="s">
        <v>241</v>
      </c>
      <c r="O24" s="5" t="s">
        <v>242</v>
      </c>
      <c r="P24" s="5" t="s">
        <v>154</v>
      </c>
      <c r="Q24" s="6" t="n">
        <v>5</v>
      </c>
      <c r="R24" s="6" t="n">
        <v>40</v>
      </c>
      <c r="S24" s="6" t="n">
        <f aca="false">SUMIFS(Allocations!$G$2:$G$274,Allocations!$B$2:$B$274,A24)</f>
        <v>26</v>
      </c>
      <c r="T24" s="8" t="n">
        <f aca="false">S24/R24</f>
        <v>0.65</v>
      </c>
      <c r="U24" s="6" t="n">
        <f aca="false">R24-S24</f>
        <v>14</v>
      </c>
      <c r="V24" s="6" t="str">
        <f aca="false">IF(T24&gt;1,"Overloaded",IF(T24&lt;0.5,"Underutilized","Healthy"))</f>
        <v>Healthy</v>
      </c>
      <c r="W24" s="5" t="s">
        <v>243</v>
      </c>
      <c r="X24" s="7"/>
      <c r="Y24" s="7"/>
      <c r="Z24" s="5" t="s">
        <v>244</v>
      </c>
    </row>
    <row r="25" customFormat="false" ht="15" hidden="false" customHeight="false" outlineLevel="0" collapsed="false">
      <c r="A25" s="5" t="s">
        <v>245</v>
      </c>
      <c r="B25" s="5" t="s">
        <v>246</v>
      </c>
      <c r="C25" s="5" t="s">
        <v>247</v>
      </c>
      <c r="D25" s="5" t="s">
        <v>63</v>
      </c>
      <c r="E25" s="5" t="s">
        <v>83</v>
      </c>
      <c r="F25" s="6" t="s">
        <v>42</v>
      </c>
      <c r="G25" s="5" t="s">
        <v>65</v>
      </c>
      <c r="H25" s="7" t="n">
        <v>44259</v>
      </c>
      <c r="I25" s="6" t="n">
        <v>5</v>
      </c>
      <c r="J25" s="5" t="s">
        <v>84</v>
      </c>
      <c r="K25" s="5" t="s">
        <v>67</v>
      </c>
      <c r="L25" s="5" t="s">
        <v>46</v>
      </c>
      <c r="M25" s="5" t="s">
        <v>151</v>
      </c>
      <c r="N25" s="5" t="s">
        <v>248</v>
      </c>
      <c r="O25" s="5" t="s">
        <v>249</v>
      </c>
      <c r="P25" s="5"/>
      <c r="Q25" s="6" t="n">
        <v>4</v>
      </c>
      <c r="R25" s="6" t="n">
        <v>40</v>
      </c>
      <c r="S25" s="6" t="n">
        <f aca="false">SUMIFS(Allocations!$G$2:$G$274,Allocations!$B$2:$B$274,A25)</f>
        <v>46</v>
      </c>
      <c r="T25" s="8" t="n">
        <f aca="false">S25/R25</f>
        <v>1.15</v>
      </c>
      <c r="U25" s="6" t="n">
        <f aca="false">R25-S25</f>
        <v>-6</v>
      </c>
      <c r="V25" s="6" t="str">
        <f aca="false">IF(T25&gt;1,"Overloaded",IF(T25&lt;0.5,"Underutilized","Healthy"))</f>
        <v>Overloaded</v>
      </c>
      <c r="W25" s="5" t="s">
        <v>250</v>
      </c>
      <c r="X25" s="7"/>
      <c r="Y25" s="7"/>
      <c r="Z25" s="5" t="s">
        <v>251</v>
      </c>
    </row>
    <row r="26" customFormat="false" ht="15" hidden="false" customHeight="false" outlineLevel="0" collapsed="false">
      <c r="A26" s="5" t="s">
        <v>252</v>
      </c>
      <c r="B26" s="5" t="s">
        <v>253</v>
      </c>
      <c r="C26" s="5" t="s">
        <v>254</v>
      </c>
      <c r="D26" s="5" t="s">
        <v>63</v>
      </c>
      <c r="E26" s="5" t="s">
        <v>64</v>
      </c>
      <c r="F26" s="6" t="s">
        <v>55</v>
      </c>
      <c r="G26" s="5" t="s">
        <v>65</v>
      </c>
      <c r="H26" s="7" t="n">
        <v>45025</v>
      </c>
      <c r="I26" s="6" t="n">
        <v>3</v>
      </c>
      <c r="J26" s="5" t="s">
        <v>84</v>
      </c>
      <c r="K26" s="5" t="s">
        <v>67</v>
      </c>
      <c r="L26" s="5" t="s">
        <v>46</v>
      </c>
      <c r="M26" s="5" t="s">
        <v>151</v>
      </c>
      <c r="N26" s="5" t="s">
        <v>255</v>
      </c>
      <c r="O26" s="5" t="s">
        <v>256</v>
      </c>
      <c r="P26" s="5"/>
      <c r="Q26" s="6" t="n">
        <v>4</v>
      </c>
      <c r="R26" s="6" t="n">
        <v>40</v>
      </c>
      <c r="S26" s="6" t="n">
        <f aca="false">SUMIFS(Allocations!$G$2:$G$274,Allocations!$B$2:$B$274,A26)</f>
        <v>26</v>
      </c>
      <c r="T26" s="8" t="n">
        <f aca="false">S26/R26</f>
        <v>0.65</v>
      </c>
      <c r="U26" s="6" t="n">
        <f aca="false">R26-S26</f>
        <v>14</v>
      </c>
      <c r="V26" s="6" t="str">
        <f aca="false">IF(T26&gt;1,"Overloaded",IF(T26&lt;0.5,"Underutilized","Healthy"))</f>
        <v>Healthy</v>
      </c>
      <c r="W26" s="5" t="s">
        <v>257</v>
      </c>
      <c r="X26" s="7"/>
      <c r="Y26" s="7"/>
      <c r="Z26" s="5" t="s">
        <v>258</v>
      </c>
    </row>
    <row r="27" customFormat="false" ht="15" hidden="false" customHeight="false" outlineLevel="0" collapsed="false">
      <c r="A27" s="5" t="s">
        <v>259</v>
      </c>
      <c r="B27" s="5" t="s">
        <v>260</v>
      </c>
      <c r="C27" s="5" t="s">
        <v>261</v>
      </c>
      <c r="D27" s="5" t="s">
        <v>146</v>
      </c>
      <c r="E27" s="5" t="s">
        <v>193</v>
      </c>
      <c r="F27" s="6" t="s">
        <v>161</v>
      </c>
      <c r="G27" s="5" t="s">
        <v>148</v>
      </c>
      <c r="H27" s="7" t="n">
        <v>45548</v>
      </c>
      <c r="I27" s="6" t="n">
        <v>2</v>
      </c>
      <c r="J27" s="5" t="s">
        <v>84</v>
      </c>
      <c r="K27" s="5" t="s">
        <v>45</v>
      </c>
      <c r="L27" s="5" t="s">
        <v>46</v>
      </c>
      <c r="M27" s="5" t="s">
        <v>47</v>
      </c>
      <c r="N27" s="5" t="s">
        <v>262</v>
      </c>
      <c r="O27" s="5" t="s">
        <v>263</v>
      </c>
      <c r="P27" s="5" t="s">
        <v>264</v>
      </c>
      <c r="Q27" s="6" t="n">
        <v>5</v>
      </c>
      <c r="R27" s="6" t="n">
        <v>40</v>
      </c>
      <c r="S27" s="6" t="n">
        <f aca="false">SUMIFS(Allocations!$G$2:$G$274,Allocations!$B$2:$B$274,A27)</f>
        <v>44</v>
      </c>
      <c r="T27" s="8" t="n">
        <f aca="false">S27/R27</f>
        <v>1.1</v>
      </c>
      <c r="U27" s="6" t="n">
        <f aca="false">R27-S27</f>
        <v>-4</v>
      </c>
      <c r="V27" s="6" t="str">
        <f aca="false">IF(T27&gt;1,"Overloaded",IF(T27&lt;0.5,"Underutilized","Healthy"))</f>
        <v>Overloaded</v>
      </c>
      <c r="W27" s="5" t="s">
        <v>265</v>
      </c>
      <c r="X27" s="7"/>
      <c r="Y27" s="7"/>
      <c r="Z27" s="5" t="s">
        <v>266</v>
      </c>
    </row>
    <row r="28" customFormat="false" ht="15" hidden="false" customHeight="false" outlineLevel="0" collapsed="false">
      <c r="A28" s="5" t="s">
        <v>267</v>
      </c>
      <c r="B28" s="5" t="s">
        <v>268</v>
      </c>
      <c r="C28" s="5" t="s">
        <v>269</v>
      </c>
      <c r="D28" s="5" t="s">
        <v>63</v>
      </c>
      <c r="E28" s="5" t="s">
        <v>270</v>
      </c>
      <c r="F28" s="6" t="s">
        <v>161</v>
      </c>
      <c r="G28" s="5" t="s">
        <v>65</v>
      </c>
      <c r="H28" s="7" t="n">
        <v>45328</v>
      </c>
      <c r="I28" s="6" t="n">
        <v>2</v>
      </c>
      <c r="J28" s="5" t="s">
        <v>44</v>
      </c>
      <c r="K28" s="5" t="s">
        <v>45</v>
      </c>
      <c r="L28" s="5" t="s">
        <v>46</v>
      </c>
      <c r="M28" s="5" t="s">
        <v>57</v>
      </c>
      <c r="N28" s="5" t="s">
        <v>271</v>
      </c>
      <c r="O28" s="5" t="s">
        <v>272</v>
      </c>
      <c r="P28" s="5" t="s">
        <v>49</v>
      </c>
      <c r="Q28" s="6" t="n">
        <v>3</v>
      </c>
      <c r="R28" s="6" t="n">
        <v>40</v>
      </c>
      <c r="S28" s="6" t="n">
        <f aca="false">SUMIFS(Allocations!$G$2:$G$274,Allocations!$B$2:$B$274,A28)</f>
        <v>24</v>
      </c>
      <c r="T28" s="8" t="n">
        <f aca="false">S28/R28</f>
        <v>0.6</v>
      </c>
      <c r="U28" s="6" t="n">
        <f aca="false">R28-S28</f>
        <v>16</v>
      </c>
      <c r="V28" s="6" t="str">
        <f aca="false">IF(T28&gt;1,"Overloaded",IF(T28&lt;0.5,"Underutilized","Healthy"))</f>
        <v>Healthy</v>
      </c>
      <c r="W28" s="5" t="s">
        <v>273</v>
      </c>
      <c r="X28" s="7" t="n">
        <v>46341</v>
      </c>
      <c r="Y28" s="7" t="n">
        <v>46346</v>
      </c>
      <c r="Z28" s="5" t="s">
        <v>274</v>
      </c>
    </row>
    <row r="29" customFormat="false" ht="15" hidden="false" customHeight="false" outlineLevel="0" collapsed="false">
      <c r="A29" s="5" t="s">
        <v>275</v>
      </c>
      <c r="B29" s="5" t="s">
        <v>276</v>
      </c>
      <c r="C29" s="5" t="s">
        <v>277</v>
      </c>
      <c r="D29" s="5" t="s">
        <v>63</v>
      </c>
      <c r="E29" s="5" t="s">
        <v>278</v>
      </c>
      <c r="F29" s="6" t="s">
        <v>95</v>
      </c>
      <c r="G29" s="5" t="s">
        <v>65</v>
      </c>
      <c r="H29" s="7" t="n">
        <v>44087</v>
      </c>
      <c r="I29" s="6" t="n">
        <v>9</v>
      </c>
      <c r="J29" s="5" t="s">
        <v>113</v>
      </c>
      <c r="K29" s="5" t="s">
        <v>67</v>
      </c>
      <c r="L29" s="5" t="s">
        <v>150</v>
      </c>
      <c r="M29" s="5" t="s">
        <v>151</v>
      </c>
      <c r="N29" s="5" t="s">
        <v>279</v>
      </c>
      <c r="O29" s="5" t="s">
        <v>280</v>
      </c>
      <c r="P29" s="5"/>
      <c r="Q29" s="6" t="n">
        <v>5</v>
      </c>
      <c r="R29" s="6" t="n">
        <v>40</v>
      </c>
      <c r="S29" s="6" t="n">
        <f aca="false">SUMIFS(Allocations!$G$2:$G$274,Allocations!$B$2:$B$274,A29)</f>
        <v>36</v>
      </c>
      <c r="T29" s="8" t="n">
        <f aca="false">S29/R29</f>
        <v>0.9</v>
      </c>
      <c r="U29" s="6" t="n">
        <f aca="false">R29-S29</f>
        <v>4</v>
      </c>
      <c r="V29" s="6" t="str">
        <f aca="false">IF(T29&gt;1,"Overloaded",IF(T29&lt;0.5,"Underutilized","Healthy"))</f>
        <v>Healthy</v>
      </c>
      <c r="W29" s="5" t="s">
        <v>281</v>
      </c>
      <c r="X29" s="7"/>
      <c r="Y29" s="7"/>
      <c r="Z29" s="5"/>
    </row>
    <row r="30" customFormat="false" ht="15" hidden="false" customHeight="false" outlineLevel="0" collapsed="false">
      <c r="A30" s="5" t="s">
        <v>282</v>
      </c>
      <c r="B30" s="5" t="s">
        <v>283</v>
      </c>
      <c r="C30" s="5" t="s">
        <v>284</v>
      </c>
      <c r="D30" s="5" t="s">
        <v>63</v>
      </c>
      <c r="E30" s="5" t="s">
        <v>185</v>
      </c>
      <c r="F30" s="6" t="s">
        <v>42</v>
      </c>
      <c r="G30" s="5" t="s">
        <v>65</v>
      </c>
      <c r="H30" s="7" t="n">
        <v>44700</v>
      </c>
      <c r="I30" s="6" t="n">
        <v>5</v>
      </c>
      <c r="J30" s="5" t="s">
        <v>84</v>
      </c>
      <c r="K30" s="5" t="s">
        <v>67</v>
      </c>
      <c r="L30" s="5" t="s">
        <v>46</v>
      </c>
      <c r="M30" s="5" t="s">
        <v>169</v>
      </c>
      <c r="N30" s="5" t="s">
        <v>285</v>
      </c>
      <c r="O30" s="5" t="s">
        <v>286</v>
      </c>
      <c r="P30" s="5" t="s">
        <v>287</v>
      </c>
      <c r="Q30" s="6" t="n">
        <v>3</v>
      </c>
      <c r="R30" s="6" t="n">
        <v>40</v>
      </c>
      <c r="S30" s="6" t="n">
        <f aca="false">SUMIFS(Allocations!$G$2:$G$274,Allocations!$B$2:$B$274,A30)</f>
        <v>32</v>
      </c>
      <c r="T30" s="8" t="n">
        <f aca="false">S30/R30</f>
        <v>0.8</v>
      </c>
      <c r="U30" s="6" t="n">
        <f aca="false">R30-S30</f>
        <v>8</v>
      </c>
      <c r="V30" s="6" t="str">
        <f aca="false">IF(T30&gt;1,"Overloaded",IF(T30&lt;0.5,"Underutilized","Healthy"))</f>
        <v>Healthy</v>
      </c>
      <c r="W30" s="5" t="s">
        <v>288</v>
      </c>
      <c r="X30" s="7"/>
      <c r="Y30" s="7"/>
      <c r="Z30" s="5" t="s">
        <v>289</v>
      </c>
    </row>
    <row r="31" customFormat="false" ht="15" hidden="false" customHeight="false" outlineLevel="0" collapsed="false">
      <c r="A31" s="5" t="s">
        <v>290</v>
      </c>
      <c r="B31" s="5" t="s">
        <v>291</v>
      </c>
      <c r="C31" s="5" t="s">
        <v>292</v>
      </c>
      <c r="D31" s="5" t="s">
        <v>63</v>
      </c>
      <c r="E31" s="5" t="s">
        <v>83</v>
      </c>
      <c r="F31" s="6" t="s">
        <v>42</v>
      </c>
      <c r="G31" s="5" t="s">
        <v>65</v>
      </c>
      <c r="H31" s="7" t="n">
        <v>44465</v>
      </c>
      <c r="I31" s="6" t="n">
        <v>7</v>
      </c>
      <c r="J31" s="5" t="s">
        <v>84</v>
      </c>
      <c r="K31" s="5" t="s">
        <v>45</v>
      </c>
      <c r="L31" s="5" t="s">
        <v>46</v>
      </c>
      <c r="M31" s="5" t="s">
        <v>85</v>
      </c>
      <c r="N31" s="5" t="s">
        <v>293</v>
      </c>
      <c r="O31" s="5" t="s">
        <v>294</v>
      </c>
      <c r="P31" s="5"/>
      <c r="Q31" s="6" t="n">
        <v>5</v>
      </c>
      <c r="R31" s="6" t="n">
        <v>40</v>
      </c>
      <c r="S31" s="6" t="n">
        <f aca="false">SUMIFS(Allocations!$G$2:$G$274,Allocations!$B$2:$B$274,A31)</f>
        <v>36</v>
      </c>
      <c r="T31" s="8" t="n">
        <f aca="false">S31/R31</f>
        <v>0.9</v>
      </c>
      <c r="U31" s="6" t="n">
        <f aca="false">R31-S31</f>
        <v>4</v>
      </c>
      <c r="V31" s="6" t="str">
        <f aca="false">IF(T31&gt;1,"Overloaded",IF(T31&lt;0.5,"Underutilized","Healthy"))</f>
        <v>Healthy</v>
      </c>
      <c r="W31" s="5" t="s">
        <v>295</v>
      </c>
      <c r="X31" s="7"/>
      <c r="Y31" s="7"/>
      <c r="Z31" s="5" t="s">
        <v>72</v>
      </c>
    </row>
    <row r="32" customFormat="false" ht="15" hidden="false" customHeight="false" outlineLevel="0" collapsed="false">
      <c r="A32" s="5" t="s">
        <v>296</v>
      </c>
      <c r="B32" s="5" t="s">
        <v>297</v>
      </c>
      <c r="C32" s="5" t="s">
        <v>298</v>
      </c>
      <c r="D32" s="5" t="s">
        <v>63</v>
      </c>
      <c r="E32" s="5" t="s">
        <v>226</v>
      </c>
      <c r="F32" s="6" t="s">
        <v>95</v>
      </c>
      <c r="G32" s="5" t="s">
        <v>65</v>
      </c>
      <c r="H32" s="7" t="n">
        <v>45558</v>
      </c>
      <c r="I32" s="6" t="n">
        <v>9</v>
      </c>
      <c r="J32" s="5" t="s">
        <v>84</v>
      </c>
      <c r="K32" s="5" t="s">
        <v>45</v>
      </c>
      <c r="L32" s="5" t="s">
        <v>46</v>
      </c>
      <c r="M32" s="5" t="s">
        <v>57</v>
      </c>
      <c r="N32" s="5" t="s">
        <v>299</v>
      </c>
      <c r="O32" s="5" t="s">
        <v>300</v>
      </c>
      <c r="P32" s="5"/>
      <c r="Q32" s="6" t="n">
        <v>2</v>
      </c>
      <c r="R32" s="6" t="n">
        <v>40</v>
      </c>
      <c r="S32" s="6" t="n">
        <f aca="false">SUMIFS(Allocations!$G$2:$G$274,Allocations!$B$2:$B$274,A32)</f>
        <v>24</v>
      </c>
      <c r="T32" s="8" t="n">
        <f aca="false">S32/R32</f>
        <v>0.6</v>
      </c>
      <c r="U32" s="6" t="n">
        <f aca="false">R32-S32</f>
        <v>16</v>
      </c>
      <c r="V32" s="6" t="str">
        <f aca="false">IF(T32&gt;1,"Overloaded",IF(T32&lt;0.5,"Underutilized","Healthy"))</f>
        <v>Healthy</v>
      </c>
      <c r="W32" s="5" t="s">
        <v>301</v>
      </c>
      <c r="X32" s="7" t="n">
        <v>46344</v>
      </c>
      <c r="Y32" s="7" t="n">
        <v>46348</v>
      </c>
      <c r="Z32" s="5" t="s">
        <v>302</v>
      </c>
    </row>
    <row r="33" customFormat="false" ht="15" hidden="false" customHeight="false" outlineLevel="0" collapsed="false">
      <c r="A33" s="5" t="s">
        <v>303</v>
      </c>
      <c r="B33" s="5" t="s">
        <v>304</v>
      </c>
      <c r="C33" s="5" t="s">
        <v>305</v>
      </c>
      <c r="D33" s="5" t="s">
        <v>40</v>
      </c>
      <c r="E33" s="5" t="s">
        <v>54</v>
      </c>
      <c r="F33" s="6" t="s">
        <v>55</v>
      </c>
      <c r="G33" s="5" t="s">
        <v>43</v>
      </c>
      <c r="H33" s="7" t="n">
        <v>44968</v>
      </c>
      <c r="I33" s="6" t="n">
        <v>3</v>
      </c>
      <c r="J33" s="5" t="s">
        <v>84</v>
      </c>
      <c r="K33" s="5" t="s">
        <v>67</v>
      </c>
      <c r="L33" s="5" t="s">
        <v>46</v>
      </c>
      <c r="M33" s="5" t="s">
        <v>76</v>
      </c>
      <c r="N33" s="5" t="s">
        <v>58</v>
      </c>
      <c r="O33" s="5"/>
      <c r="P33" s="5" t="s">
        <v>49</v>
      </c>
      <c r="Q33" s="6" t="n">
        <v>4</v>
      </c>
      <c r="R33" s="6" t="n">
        <v>40</v>
      </c>
      <c r="S33" s="6" t="n">
        <f aca="false">SUMIFS(Allocations!$G$2:$G$274,Allocations!$B$2:$B$274,A33)</f>
        <v>36</v>
      </c>
      <c r="T33" s="8" t="n">
        <f aca="false">S33/R33</f>
        <v>0.9</v>
      </c>
      <c r="U33" s="6" t="n">
        <f aca="false">R33-S33</f>
        <v>4</v>
      </c>
      <c r="V33" s="6" t="str">
        <f aca="false">IF(T33&gt;1,"Overloaded",IF(T33&lt;0.5,"Underutilized","Healthy"))</f>
        <v>Healthy</v>
      </c>
      <c r="W33" s="5" t="s">
        <v>306</v>
      </c>
      <c r="X33" s="7"/>
      <c r="Y33" s="7"/>
      <c r="Z33" s="5" t="s">
        <v>307</v>
      </c>
    </row>
    <row r="34" customFormat="false" ht="15" hidden="false" customHeight="false" outlineLevel="0" collapsed="false">
      <c r="A34" s="5" t="s">
        <v>308</v>
      </c>
      <c r="B34" s="5" t="s">
        <v>309</v>
      </c>
      <c r="C34" s="5" t="s">
        <v>310</v>
      </c>
      <c r="D34" s="5" t="s">
        <v>311</v>
      </c>
      <c r="E34" s="5" t="s">
        <v>312</v>
      </c>
      <c r="F34" s="6" t="s">
        <v>120</v>
      </c>
      <c r="G34" s="5" t="s">
        <v>121</v>
      </c>
      <c r="H34" s="7" t="n">
        <v>44273</v>
      </c>
      <c r="I34" s="6" t="n">
        <v>14</v>
      </c>
      <c r="J34" s="5" t="s">
        <v>84</v>
      </c>
      <c r="K34" s="5" t="s">
        <v>67</v>
      </c>
      <c r="L34" s="5" t="s">
        <v>150</v>
      </c>
      <c r="M34" s="5" t="s">
        <v>76</v>
      </c>
      <c r="N34" s="5" t="s">
        <v>313</v>
      </c>
      <c r="O34" s="5"/>
      <c r="P34" s="5"/>
      <c r="Q34" s="6" t="n">
        <v>5</v>
      </c>
      <c r="R34" s="6" t="n">
        <v>40</v>
      </c>
      <c r="S34" s="6" t="n">
        <f aca="false">SUMIFS(Allocations!$G$2:$G$274,Allocations!$B$2:$B$274,A34)</f>
        <v>36</v>
      </c>
      <c r="T34" s="8" t="n">
        <f aca="false">S34/R34</f>
        <v>0.9</v>
      </c>
      <c r="U34" s="6" t="n">
        <f aca="false">R34-S34</f>
        <v>4</v>
      </c>
      <c r="V34" s="6" t="str">
        <f aca="false">IF(T34&gt;1,"Overloaded",IF(T34&lt;0.5,"Underutilized","Healthy"))</f>
        <v>Healthy</v>
      </c>
      <c r="W34" s="5" t="s">
        <v>314</v>
      </c>
      <c r="X34" s="7"/>
      <c r="Y34" s="7"/>
      <c r="Z34" s="5" t="s">
        <v>315</v>
      </c>
    </row>
    <row r="35" customFormat="false" ht="15" hidden="false" customHeight="false" outlineLevel="0" collapsed="false">
      <c r="A35" s="5" t="s">
        <v>316</v>
      </c>
      <c r="B35" s="5" t="s">
        <v>317</v>
      </c>
      <c r="C35" s="5" t="s">
        <v>318</v>
      </c>
      <c r="D35" s="5" t="s">
        <v>93</v>
      </c>
      <c r="E35" s="5" t="s">
        <v>94</v>
      </c>
      <c r="F35" s="6" t="s">
        <v>95</v>
      </c>
      <c r="G35" s="5" t="s">
        <v>96</v>
      </c>
      <c r="H35" s="7" t="n">
        <v>44075</v>
      </c>
      <c r="I35" s="6" t="n">
        <v>9</v>
      </c>
      <c r="J35" s="5" t="s">
        <v>84</v>
      </c>
      <c r="K35" s="5" t="s">
        <v>67</v>
      </c>
      <c r="L35" s="5" t="s">
        <v>46</v>
      </c>
      <c r="M35" s="5" t="s">
        <v>151</v>
      </c>
      <c r="N35" s="5" t="s">
        <v>319</v>
      </c>
      <c r="O35" s="5" t="s">
        <v>320</v>
      </c>
      <c r="P35" s="5"/>
      <c r="Q35" s="6" t="n">
        <v>3</v>
      </c>
      <c r="R35" s="6" t="n">
        <v>40</v>
      </c>
      <c r="S35" s="6" t="n">
        <f aca="false">SUMIFS(Allocations!$G$2:$G$274,Allocations!$B$2:$B$274,A35)</f>
        <v>28</v>
      </c>
      <c r="T35" s="8" t="n">
        <f aca="false">S35/R35</f>
        <v>0.7</v>
      </c>
      <c r="U35" s="6" t="n">
        <f aca="false">R35-S35</f>
        <v>12</v>
      </c>
      <c r="V35" s="6" t="str">
        <f aca="false">IF(T35&gt;1,"Overloaded",IF(T35&lt;0.5,"Underutilized","Healthy"))</f>
        <v>Healthy</v>
      </c>
      <c r="W35" s="5" t="s">
        <v>321</v>
      </c>
      <c r="X35" s="7"/>
      <c r="Y35" s="7"/>
      <c r="Z35" s="5" t="s">
        <v>322</v>
      </c>
    </row>
    <row r="36" customFormat="false" ht="15" hidden="false" customHeight="false" outlineLevel="0" collapsed="false">
      <c r="A36" s="5" t="s">
        <v>323</v>
      </c>
      <c r="B36" s="5" t="s">
        <v>324</v>
      </c>
      <c r="C36" s="5" t="s">
        <v>325</v>
      </c>
      <c r="D36" s="5" t="s">
        <v>135</v>
      </c>
      <c r="E36" s="5" t="s">
        <v>326</v>
      </c>
      <c r="F36" s="6" t="s">
        <v>42</v>
      </c>
      <c r="G36" s="5" t="s">
        <v>137</v>
      </c>
      <c r="H36" s="7" t="n">
        <v>45061</v>
      </c>
      <c r="I36" s="6" t="n">
        <v>6</v>
      </c>
      <c r="J36" s="5" t="s">
        <v>84</v>
      </c>
      <c r="K36" s="5" t="s">
        <v>45</v>
      </c>
      <c r="L36" s="5" t="s">
        <v>46</v>
      </c>
      <c r="M36" s="5" t="s">
        <v>85</v>
      </c>
      <c r="N36" s="5" t="s">
        <v>327</v>
      </c>
      <c r="O36" s="5" t="s">
        <v>328</v>
      </c>
      <c r="P36" s="5" t="s">
        <v>214</v>
      </c>
      <c r="Q36" s="6" t="n">
        <v>4</v>
      </c>
      <c r="R36" s="6" t="n">
        <v>40</v>
      </c>
      <c r="S36" s="6" t="n">
        <f aca="false">SUMIFS(Allocations!$G$2:$G$274,Allocations!$B$2:$B$274,A36)</f>
        <v>22</v>
      </c>
      <c r="T36" s="8" t="n">
        <f aca="false">S36/R36</f>
        <v>0.55</v>
      </c>
      <c r="U36" s="6" t="n">
        <f aca="false">R36-S36</f>
        <v>18</v>
      </c>
      <c r="V36" s="6" t="str">
        <f aca="false">IF(T36&gt;1,"Overloaded",IF(T36&lt;0.5,"Underutilized","Healthy"))</f>
        <v>Healthy</v>
      </c>
      <c r="W36" s="5" t="s">
        <v>329</v>
      </c>
      <c r="X36" s="7"/>
      <c r="Y36" s="7"/>
      <c r="Z36" s="5" t="s">
        <v>330</v>
      </c>
    </row>
    <row r="37" customFormat="false" ht="15" hidden="false" customHeight="false" outlineLevel="0" collapsed="false">
      <c r="A37" s="5" t="s">
        <v>331</v>
      </c>
      <c r="B37" s="5" t="s">
        <v>332</v>
      </c>
      <c r="C37" s="5" t="s">
        <v>333</v>
      </c>
      <c r="D37" s="5" t="s">
        <v>202</v>
      </c>
      <c r="E37" s="5" t="s">
        <v>203</v>
      </c>
      <c r="F37" s="6" t="s">
        <v>95</v>
      </c>
      <c r="G37" s="5" t="s">
        <v>204</v>
      </c>
      <c r="H37" s="7" t="n">
        <v>43937</v>
      </c>
      <c r="I37" s="6" t="n">
        <v>10</v>
      </c>
      <c r="J37" s="5" t="s">
        <v>84</v>
      </c>
      <c r="K37" s="5" t="s">
        <v>45</v>
      </c>
      <c r="L37" s="5" t="s">
        <v>46</v>
      </c>
      <c r="M37" s="5" t="s">
        <v>151</v>
      </c>
      <c r="N37" s="5" t="s">
        <v>334</v>
      </c>
      <c r="O37" s="5" t="s">
        <v>335</v>
      </c>
      <c r="P37" s="5"/>
      <c r="Q37" s="6" t="n">
        <v>5</v>
      </c>
      <c r="R37" s="6" t="n">
        <v>40</v>
      </c>
      <c r="S37" s="6" t="n">
        <f aca="false">SUMIFS(Allocations!$G$2:$G$274,Allocations!$B$2:$B$274,A37)</f>
        <v>36</v>
      </c>
      <c r="T37" s="8" t="n">
        <f aca="false">S37/R37</f>
        <v>0.9</v>
      </c>
      <c r="U37" s="6" t="n">
        <f aca="false">R37-S37</f>
        <v>4</v>
      </c>
      <c r="V37" s="6" t="str">
        <f aca="false">IF(T37&gt;1,"Overloaded",IF(T37&lt;0.5,"Underutilized","Healthy"))</f>
        <v>Healthy</v>
      </c>
      <c r="W37" s="5" t="s">
        <v>336</v>
      </c>
      <c r="X37" s="7"/>
      <c r="Y37" s="7"/>
      <c r="Z37" s="5" t="s">
        <v>337</v>
      </c>
    </row>
    <row r="38" customFormat="false" ht="15" hidden="false" customHeight="false" outlineLevel="0" collapsed="false">
      <c r="A38" s="5" t="s">
        <v>338</v>
      </c>
      <c r="B38" s="5" t="s">
        <v>339</v>
      </c>
      <c r="C38" s="5" t="s">
        <v>340</v>
      </c>
      <c r="D38" s="5" t="s">
        <v>93</v>
      </c>
      <c r="E38" s="5" t="s">
        <v>341</v>
      </c>
      <c r="F38" s="6" t="s">
        <v>55</v>
      </c>
      <c r="G38" s="5" t="s">
        <v>96</v>
      </c>
      <c r="H38" s="7" t="n">
        <v>44917</v>
      </c>
      <c r="I38" s="6" t="n">
        <v>3</v>
      </c>
      <c r="J38" s="5" t="s">
        <v>84</v>
      </c>
      <c r="K38" s="5" t="s">
        <v>45</v>
      </c>
      <c r="L38" s="5" t="s">
        <v>46</v>
      </c>
      <c r="M38" s="5" t="s">
        <v>85</v>
      </c>
      <c r="N38" s="5" t="s">
        <v>342</v>
      </c>
      <c r="O38" s="5" t="s">
        <v>343</v>
      </c>
      <c r="P38" s="5" t="s">
        <v>344</v>
      </c>
      <c r="Q38" s="6" t="n">
        <v>3</v>
      </c>
      <c r="R38" s="6" t="n">
        <v>40</v>
      </c>
      <c r="S38" s="6" t="n">
        <f aca="false">SUMIFS(Allocations!$G$2:$G$274,Allocations!$B$2:$B$274,A38)</f>
        <v>30</v>
      </c>
      <c r="T38" s="8" t="n">
        <f aca="false">S38/R38</f>
        <v>0.75</v>
      </c>
      <c r="U38" s="6" t="n">
        <f aca="false">R38-S38</f>
        <v>10</v>
      </c>
      <c r="V38" s="6" t="str">
        <f aca="false">IF(T38&gt;1,"Overloaded",IF(T38&lt;0.5,"Underutilized","Healthy"))</f>
        <v>Healthy</v>
      </c>
      <c r="W38" s="5" t="s">
        <v>345</v>
      </c>
      <c r="X38" s="7"/>
      <c r="Y38" s="7"/>
      <c r="Z38" s="5" t="s">
        <v>346</v>
      </c>
    </row>
    <row r="39" customFormat="false" ht="15" hidden="false" customHeight="false" outlineLevel="0" collapsed="false">
      <c r="A39" s="5" t="s">
        <v>347</v>
      </c>
      <c r="B39" s="5" t="s">
        <v>348</v>
      </c>
      <c r="C39" s="5" t="s">
        <v>349</v>
      </c>
      <c r="D39" s="5" t="s">
        <v>93</v>
      </c>
      <c r="E39" s="5" t="s">
        <v>341</v>
      </c>
      <c r="F39" s="6" t="s">
        <v>55</v>
      </c>
      <c r="G39" s="5" t="s">
        <v>96</v>
      </c>
      <c r="H39" s="7" t="n">
        <v>45719</v>
      </c>
      <c r="I39" s="6" t="n">
        <v>3</v>
      </c>
      <c r="J39" s="5" t="s">
        <v>44</v>
      </c>
      <c r="K39" s="5" t="s">
        <v>67</v>
      </c>
      <c r="L39" s="5" t="s">
        <v>46</v>
      </c>
      <c r="M39" s="5" t="s">
        <v>169</v>
      </c>
      <c r="N39" s="5" t="s">
        <v>350</v>
      </c>
      <c r="O39" s="5" t="s">
        <v>351</v>
      </c>
      <c r="P39" s="5" t="s">
        <v>352</v>
      </c>
      <c r="Q39" s="6" t="n">
        <v>5</v>
      </c>
      <c r="R39" s="6" t="n">
        <v>40</v>
      </c>
      <c r="S39" s="6" t="n">
        <f aca="false">SUMIFS(Allocations!$G$2:$G$274,Allocations!$B$2:$B$274,A39)</f>
        <v>32</v>
      </c>
      <c r="T39" s="8" t="n">
        <f aca="false">S39/R39</f>
        <v>0.8</v>
      </c>
      <c r="U39" s="6" t="n">
        <f aca="false">R39-S39</f>
        <v>8</v>
      </c>
      <c r="V39" s="6" t="str">
        <f aca="false">IF(T39&gt;1,"Overloaded",IF(T39&lt;0.5,"Underutilized","Healthy"))</f>
        <v>Healthy</v>
      </c>
      <c r="W39" s="5" t="s">
        <v>353</v>
      </c>
      <c r="X39" s="7"/>
      <c r="Y39" s="7"/>
      <c r="Z39" s="5" t="s">
        <v>354</v>
      </c>
    </row>
    <row r="40" customFormat="false" ht="15" hidden="false" customHeight="false" outlineLevel="0" collapsed="false">
      <c r="A40" s="5" t="s">
        <v>355</v>
      </c>
      <c r="B40" s="5" t="s">
        <v>356</v>
      </c>
      <c r="C40" s="5" t="s">
        <v>357</v>
      </c>
      <c r="D40" s="5" t="s">
        <v>311</v>
      </c>
      <c r="E40" s="5" t="s">
        <v>312</v>
      </c>
      <c r="F40" s="6" t="s">
        <v>120</v>
      </c>
      <c r="G40" s="5" t="s">
        <v>309</v>
      </c>
      <c r="H40" s="7" t="n">
        <v>45467</v>
      </c>
      <c r="I40" s="6" t="n">
        <v>14</v>
      </c>
      <c r="J40" s="5" t="s">
        <v>84</v>
      </c>
      <c r="K40" s="5" t="s">
        <v>149</v>
      </c>
      <c r="L40" s="5" t="s">
        <v>46</v>
      </c>
      <c r="M40" s="5" t="s">
        <v>57</v>
      </c>
      <c r="N40" s="5" t="s">
        <v>358</v>
      </c>
      <c r="O40" s="5" t="s">
        <v>359</v>
      </c>
      <c r="P40" s="5" t="s">
        <v>360</v>
      </c>
      <c r="Q40" s="6" t="n">
        <v>3</v>
      </c>
      <c r="R40" s="6" t="n">
        <v>40</v>
      </c>
      <c r="S40" s="6" t="n">
        <f aca="false">SUMIFS(Allocations!$G$2:$G$274,Allocations!$B$2:$B$274,A40)</f>
        <v>36</v>
      </c>
      <c r="T40" s="8" t="n">
        <f aca="false">S40/R40</f>
        <v>0.9</v>
      </c>
      <c r="U40" s="6" t="n">
        <f aca="false">R40-S40</f>
        <v>4</v>
      </c>
      <c r="V40" s="6" t="str">
        <f aca="false">IF(T40&gt;1,"Overloaded",IF(T40&lt;0.5,"Underutilized","Healthy"))</f>
        <v>Healthy</v>
      </c>
      <c r="W40" s="5" t="s">
        <v>361</v>
      </c>
      <c r="X40" s="7"/>
      <c r="Y40" s="7"/>
      <c r="Z40" s="5" t="s">
        <v>362</v>
      </c>
    </row>
    <row r="41" customFormat="false" ht="15" hidden="false" customHeight="false" outlineLevel="0" collapsed="false">
      <c r="A41" s="5" t="s">
        <v>363</v>
      </c>
      <c r="B41" s="5" t="s">
        <v>364</v>
      </c>
      <c r="C41" s="5" t="s">
        <v>365</v>
      </c>
      <c r="D41" s="5" t="s">
        <v>63</v>
      </c>
      <c r="E41" s="5" t="s">
        <v>366</v>
      </c>
      <c r="F41" s="6" t="s">
        <v>95</v>
      </c>
      <c r="G41" s="5" t="s">
        <v>65</v>
      </c>
      <c r="H41" s="7" t="n">
        <v>44293</v>
      </c>
      <c r="I41" s="6" t="n">
        <v>8</v>
      </c>
      <c r="J41" s="5" t="s">
        <v>113</v>
      </c>
      <c r="K41" s="5" t="s">
        <v>67</v>
      </c>
      <c r="L41" s="5" t="s">
        <v>46</v>
      </c>
      <c r="M41" s="5" t="s">
        <v>151</v>
      </c>
      <c r="N41" s="5" t="s">
        <v>367</v>
      </c>
      <c r="O41" s="5" t="s">
        <v>368</v>
      </c>
      <c r="P41" s="5" t="s">
        <v>140</v>
      </c>
      <c r="Q41" s="6" t="n">
        <v>3</v>
      </c>
      <c r="R41" s="6" t="n">
        <v>40</v>
      </c>
      <c r="S41" s="6" t="n">
        <f aca="false">SUMIFS(Allocations!$G$2:$G$274,Allocations!$B$2:$B$274,A41)</f>
        <v>12</v>
      </c>
      <c r="T41" s="8" t="n">
        <f aca="false">S41/R41</f>
        <v>0.3</v>
      </c>
      <c r="U41" s="6" t="n">
        <f aca="false">R41-S41</f>
        <v>28</v>
      </c>
      <c r="V41" s="6" t="str">
        <f aca="false">IF(T41&gt;1,"Overloaded",IF(T41&lt;0.5,"Underutilized","Healthy"))</f>
        <v>Underutilized</v>
      </c>
      <c r="W41" s="5" t="s">
        <v>369</v>
      </c>
      <c r="X41" s="7"/>
      <c r="Y41" s="7"/>
      <c r="Z41" s="5" t="s">
        <v>370</v>
      </c>
    </row>
    <row r="42" customFormat="false" ht="15" hidden="false" customHeight="false" outlineLevel="0" collapsed="false">
      <c r="A42" s="5" t="s">
        <v>371</v>
      </c>
      <c r="B42" s="5" t="s">
        <v>372</v>
      </c>
      <c r="C42" s="5" t="s">
        <v>373</v>
      </c>
      <c r="D42" s="5" t="s">
        <v>63</v>
      </c>
      <c r="E42" s="5" t="s">
        <v>374</v>
      </c>
      <c r="F42" s="6" t="s">
        <v>120</v>
      </c>
      <c r="G42" s="5" t="s">
        <v>65</v>
      </c>
      <c r="H42" s="7" t="n">
        <v>44316</v>
      </c>
      <c r="I42" s="6" t="n">
        <v>12</v>
      </c>
      <c r="J42" s="5" t="s">
        <v>84</v>
      </c>
      <c r="K42" s="5" t="s">
        <v>45</v>
      </c>
      <c r="L42" s="5" t="s">
        <v>150</v>
      </c>
      <c r="M42" s="5" t="s">
        <v>68</v>
      </c>
      <c r="N42" s="5" t="s">
        <v>375</v>
      </c>
      <c r="O42" s="5" t="s">
        <v>70</v>
      </c>
      <c r="P42" s="5"/>
      <c r="Q42" s="6" t="n">
        <v>4</v>
      </c>
      <c r="R42" s="6" t="n">
        <v>40</v>
      </c>
      <c r="S42" s="6" t="n">
        <f aca="false">SUMIFS(Allocations!$G$2:$G$274,Allocations!$B$2:$B$274,A42)</f>
        <v>28</v>
      </c>
      <c r="T42" s="8" t="n">
        <f aca="false">S42/R42</f>
        <v>0.7</v>
      </c>
      <c r="U42" s="6" t="n">
        <f aca="false">R42-S42</f>
        <v>12</v>
      </c>
      <c r="V42" s="6" t="str">
        <f aca="false">IF(T42&gt;1,"Overloaded",IF(T42&lt;0.5,"Underutilized","Healthy"))</f>
        <v>Healthy</v>
      </c>
      <c r="W42" s="5" t="s">
        <v>376</v>
      </c>
      <c r="X42" s="7"/>
      <c r="Y42" s="7"/>
      <c r="Z42" s="5" t="s">
        <v>377</v>
      </c>
    </row>
    <row r="43" customFormat="false" ht="15" hidden="false" customHeight="false" outlineLevel="0" collapsed="false">
      <c r="A43" s="5" t="s">
        <v>378</v>
      </c>
      <c r="B43" s="5" t="s">
        <v>379</v>
      </c>
      <c r="C43" s="5" t="s">
        <v>380</v>
      </c>
      <c r="D43" s="5" t="s">
        <v>93</v>
      </c>
      <c r="E43" s="5" t="s">
        <v>381</v>
      </c>
      <c r="F43" s="6" t="s">
        <v>42</v>
      </c>
      <c r="G43" s="5" t="s">
        <v>96</v>
      </c>
      <c r="H43" s="7" t="n">
        <v>44325</v>
      </c>
      <c r="I43" s="6" t="n">
        <v>5</v>
      </c>
      <c r="J43" s="5" t="s">
        <v>84</v>
      </c>
      <c r="K43" s="5" t="s">
        <v>45</v>
      </c>
      <c r="L43" s="5" t="s">
        <v>46</v>
      </c>
      <c r="M43" s="5" t="s">
        <v>68</v>
      </c>
      <c r="N43" s="5" t="s">
        <v>382</v>
      </c>
      <c r="O43" s="5" t="s">
        <v>383</v>
      </c>
      <c r="P43" s="5"/>
      <c r="Q43" s="6" t="n">
        <v>5</v>
      </c>
      <c r="R43" s="6" t="n">
        <v>40</v>
      </c>
      <c r="S43" s="6" t="n">
        <f aca="false">SUMIFS(Allocations!$G$2:$G$274,Allocations!$B$2:$B$274,A43)</f>
        <v>14</v>
      </c>
      <c r="T43" s="8" t="n">
        <f aca="false">S43/R43</f>
        <v>0.35</v>
      </c>
      <c r="U43" s="6" t="n">
        <f aca="false">R43-S43</f>
        <v>26</v>
      </c>
      <c r="V43" s="6" t="str">
        <f aca="false">IF(T43&gt;1,"Overloaded",IF(T43&lt;0.5,"Underutilized","Healthy"))</f>
        <v>Underutilized</v>
      </c>
      <c r="W43" s="5" t="s">
        <v>384</v>
      </c>
      <c r="X43" s="7"/>
      <c r="Y43" s="7"/>
      <c r="Z43" s="5" t="s">
        <v>72</v>
      </c>
    </row>
    <row r="44" customFormat="false" ht="15" hidden="false" customHeight="false" outlineLevel="0" collapsed="false">
      <c r="A44" s="5" t="s">
        <v>385</v>
      </c>
      <c r="B44" s="5" t="s">
        <v>386</v>
      </c>
      <c r="C44" s="5" t="s">
        <v>387</v>
      </c>
      <c r="D44" s="5" t="s">
        <v>63</v>
      </c>
      <c r="E44" s="5" t="s">
        <v>127</v>
      </c>
      <c r="F44" s="6" t="s">
        <v>120</v>
      </c>
      <c r="G44" s="5" t="s">
        <v>65</v>
      </c>
      <c r="H44" s="7" t="n">
        <v>43822</v>
      </c>
      <c r="I44" s="6" t="n">
        <v>12</v>
      </c>
      <c r="J44" s="5" t="s">
        <v>84</v>
      </c>
      <c r="K44" s="5" t="s">
        <v>67</v>
      </c>
      <c r="L44" s="5" t="s">
        <v>46</v>
      </c>
      <c r="M44" s="5" t="s">
        <v>85</v>
      </c>
      <c r="N44" s="5" t="s">
        <v>388</v>
      </c>
      <c r="O44" s="5" t="s">
        <v>187</v>
      </c>
      <c r="P44" s="5"/>
      <c r="Q44" s="6" t="n">
        <v>3</v>
      </c>
      <c r="R44" s="6" t="n">
        <v>40</v>
      </c>
      <c r="S44" s="6" t="n">
        <f aca="false">SUMIFS(Allocations!$G$2:$G$274,Allocations!$B$2:$B$274,A44)</f>
        <v>36</v>
      </c>
      <c r="T44" s="8" t="n">
        <f aca="false">S44/R44</f>
        <v>0.9</v>
      </c>
      <c r="U44" s="6" t="n">
        <f aca="false">R44-S44</f>
        <v>4</v>
      </c>
      <c r="V44" s="6" t="str">
        <f aca="false">IF(T44&gt;1,"Overloaded",IF(T44&lt;0.5,"Underutilized","Healthy"))</f>
        <v>Healthy</v>
      </c>
      <c r="W44" s="5" t="s">
        <v>389</v>
      </c>
      <c r="X44" s="7"/>
      <c r="Y44" s="7"/>
      <c r="Z44" s="5" t="s">
        <v>390</v>
      </c>
    </row>
    <row r="45" customFormat="false" ht="15" hidden="false" customHeight="false" outlineLevel="0" collapsed="false">
      <c r="A45" s="5" t="s">
        <v>391</v>
      </c>
      <c r="B45" s="5" t="s">
        <v>392</v>
      </c>
      <c r="C45" s="5" t="s">
        <v>393</v>
      </c>
      <c r="D45" s="5" t="s">
        <v>63</v>
      </c>
      <c r="E45" s="5" t="s">
        <v>270</v>
      </c>
      <c r="F45" s="6" t="s">
        <v>161</v>
      </c>
      <c r="G45" s="5" t="s">
        <v>65</v>
      </c>
      <c r="H45" s="7" t="n">
        <v>45375</v>
      </c>
      <c r="I45" s="6" t="n">
        <v>2</v>
      </c>
      <c r="J45" s="5" t="s">
        <v>84</v>
      </c>
      <c r="K45" s="5" t="s">
        <v>45</v>
      </c>
      <c r="L45" s="5" t="s">
        <v>46</v>
      </c>
      <c r="M45" s="5" t="s">
        <v>169</v>
      </c>
      <c r="N45" s="5" t="s">
        <v>255</v>
      </c>
      <c r="O45" s="5" t="s">
        <v>256</v>
      </c>
      <c r="P45" s="5"/>
      <c r="Q45" s="6" t="n">
        <v>4</v>
      </c>
      <c r="R45" s="6" t="n">
        <v>40</v>
      </c>
      <c r="S45" s="6" t="n">
        <f aca="false">SUMIFS(Allocations!$G$2:$G$274,Allocations!$B$2:$B$274,A45)</f>
        <v>26</v>
      </c>
      <c r="T45" s="8" t="n">
        <f aca="false">S45/R45</f>
        <v>0.65</v>
      </c>
      <c r="U45" s="6" t="n">
        <f aca="false">R45-S45</f>
        <v>14</v>
      </c>
      <c r="V45" s="6" t="str">
        <f aca="false">IF(T45&gt;1,"Overloaded",IF(T45&lt;0.5,"Underutilized","Healthy"))</f>
        <v>Healthy</v>
      </c>
      <c r="W45" s="5" t="s">
        <v>394</v>
      </c>
      <c r="X45" s="7"/>
      <c r="Y45" s="7"/>
      <c r="Z45" s="5" t="s">
        <v>395</v>
      </c>
    </row>
    <row r="46" customFormat="false" ht="15" hidden="false" customHeight="false" outlineLevel="0" collapsed="false">
      <c r="A46" s="5" t="s">
        <v>396</v>
      </c>
      <c r="B46" s="5" t="s">
        <v>397</v>
      </c>
      <c r="C46" s="5" t="s">
        <v>398</v>
      </c>
      <c r="D46" s="5" t="s">
        <v>135</v>
      </c>
      <c r="E46" s="5" t="s">
        <v>326</v>
      </c>
      <c r="F46" s="6" t="s">
        <v>42</v>
      </c>
      <c r="G46" s="5" t="s">
        <v>137</v>
      </c>
      <c r="H46" s="7" t="n">
        <v>44025</v>
      </c>
      <c r="I46" s="6" t="n">
        <v>7</v>
      </c>
      <c r="J46" s="5" t="s">
        <v>84</v>
      </c>
      <c r="K46" s="5" t="s">
        <v>45</v>
      </c>
      <c r="L46" s="5" t="s">
        <v>46</v>
      </c>
      <c r="M46" s="5" t="s">
        <v>47</v>
      </c>
      <c r="N46" s="5" t="s">
        <v>399</v>
      </c>
      <c r="O46" s="5" t="s">
        <v>400</v>
      </c>
      <c r="P46" s="5" t="s">
        <v>401</v>
      </c>
      <c r="Q46" s="6" t="n">
        <v>3</v>
      </c>
      <c r="R46" s="6" t="n">
        <v>40</v>
      </c>
      <c r="S46" s="6" t="n">
        <f aca="false">SUMIFS(Allocations!$G$2:$G$274,Allocations!$B$2:$B$274,A46)</f>
        <v>28</v>
      </c>
      <c r="T46" s="8" t="n">
        <f aca="false">S46/R46</f>
        <v>0.7</v>
      </c>
      <c r="U46" s="6" t="n">
        <f aca="false">R46-S46</f>
        <v>12</v>
      </c>
      <c r="V46" s="6" t="str">
        <f aca="false">IF(T46&gt;1,"Overloaded",IF(T46&lt;0.5,"Underutilized","Healthy"))</f>
        <v>Healthy</v>
      </c>
      <c r="W46" s="5" t="s">
        <v>402</v>
      </c>
      <c r="X46" s="7"/>
      <c r="Y46" s="7"/>
      <c r="Z46" s="5" t="s">
        <v>403</v>
      </c>
    </row>
    <row r="47" customFormat="false" ht="15" hidden="false" customHeight="false" outlineLevel="0" collapsed="false">
      <c r="A47" s="5" t="s">
        <v>404</v>
      </c>
      <c r="B47" s="5" t="s">
        <v>405</v>
      </c>
      <c r="C47" s="5" t="s">
        <v>406</v>
      </c>
      <c r="D47" s="5" t="s">
        <v>93</v>
      </c>
      <c r="E47" s="5" t="s">
        <v>407</v>
      </c>
      <c r="F47" s="6" t="s">
        <v>95</v>
      </c>
      <c r="G47" s="5" t="s">
        <v>96</v>
      </c>
      <c r="H47" s="7" t="n">
        <v>46118</v>
      </c>
      <c r="I47" s="6" t="n">
        <v>9</v>
      </c>
      <c r="J47" s="5" t="s">
        <v>56</v>
      </c>
      <c r="K47" s="5" t="s">
        <v>67</v>
      </c>
      <c r="L47" s="5" t="s">
        <v>46</v>
      </c>
      <c r="M47" s="5" t="s">
        <v>151</v>
      </c>
      <c r="N47" s="5" t="s">
        <v>408</v>
      </c>
      <c r="O47" s="5" t="s">
        <v>409</v>
      </c>
      <c r="P47" s="5"/>
      <c r="Q47" s="6" t="n">
        <v>3</v>
      </c>
      <c r="R47" s="6" t="n">
        <v>40</v>
      </c>
      <c r="S47" s="6" t="n">
        <f aca="false">SUMIFS(Allocations!$G$2:$G$274,Allocations!$B$2:$B$274,A47)</f>
        <v>26</v>
      </c>
      <c r="T47" s="8" t="n">
        <f aca="false">S47/R47</f>
        <v>0.65</v>
      </c>
      <c r="U47" s="6" t="n">
        <f aca="false">R47-S47</f>
        <v>14</v>
      </c>
      <c r="V47" s="6" t="str">
        <f aca="false">IF(T47&gt;1,"Overloaded",IF(T47&lt;0.5,"Underutilized","Healthy"))</f>
        <v>Healthy</v>
      </c>
      <c r="W47" s="5" t="s">
        <v>410</v>
      </c>
      <c r="X47" s="7"/>
      <c r="Y47" s="7"/>
      <c r="Z47" s="5"/>
    </row>
    <row r="48" customFormat="false" ht="15" hidden="false" customHeight="false" outlineLevel="0" collapsed="false">
      <c r="A48" s="5" t="s">
        <v>411</v>
      </c>
      <c r="B48" s="5" t="s">
        <v>412</v>
      </c>
      <c r="C48" s="5" t="s">
        <v>413</v>
      </c>
      <c r="D48" s="5" t="s">
        <v>63</v>
      </c>
      <c r="E48" s="5" t="s">
        <v>414</v>
      </c>
      <c r="F48" s="6" t="s">
        <v>161</v>
      </c>
      <c r="G48" s="5" t="s">
        <v>65</v>
      </c>
      <c r="H48" s="7" t="n">
        <v>45812</v>
      </c>
      <c r="I48" s="6" t="n">
        <v>1</v>
      </c>
      <c r="J48" s="5" t="s">
        <v>56</v>
      </c>
      <c r="K48" s="5" t="s">
        <v>67</v>
      </c>
      <c r="L48" s="5" t="s">
        <v>46</v>
      </c>
      <c r="M48" s="5" t="s">
        <v>68</v>
      </c>
      <c r="N48" s="5" t="s">
        <v>415</v>
      </c>
      <c r="O48" s="5" t="s">
        <v>416</v>
      </c>
      <c r="P48" s="5"/>
      <c r="Q48" s="6" t="n">
        <v>4</v>
      </c>
      <c r="R48" s="6" t="n">
        <v>40</v>
      </c>
      <c r="S48" s="6" t="n">
        <f aca="false">SUMIFS(Allocations!$G$2:$G$274,Allocations!$B$2:$B$274,A48)</f>
        <v>34</v>
      </c>
      <c r="T48" s="8" t="n">
        <f aca="false">S48/R48</f>
        <v>0.85</v>
      </c>
      <c r="U48" s="6" t="n">
        <f aca="false">R48-S48</f>
        <v>6</v>
      </c>
      <c r="V48" s="6" t="str">
        <f aca="false">IF(T48&gt;1,"Overloaded",IF(T48&lt;0.5,"Underutilized","Healthy"))</f>
        <v>Healthy</v>
      </c>
      <c r="W48" s="5" t="s">
        <v>417</v>
      </c>
      <c r="X48" s="7"/>
      <c r="Y48" s="7"/>
      <c r="Z48" s="5" t="s">
        <v>418</v>
      </c>
    </row>
    <row r="49" customFormat="false" ht="15" hidden="false" customHeight="false" outlineLevel="0" collapsed="false">
      <c r="A49" s="5" t="s">
        <v>419</v>
      </c>
      <c r="B49" s="5" t="s">
        <v>420</v>
      </c>
      <c r="C49" s="5" t="s">
        <v>421</v>
      </c>
      <c r="D49" s="5" t="s">
        <v>93</v>
      </c>
      <c r="E49" s="5" t="s">
        <v>381</v>
      </c>
      <c r="F49" s="6" t="s">
        <v>42</v>
      </c>
      <c r="G49" s="5" t="s">
        <v>96</v>
      </c>
      <c r="H49" s="7" t="n">
        <v>44742</v>
      </c>
      <c r="I49" s="6" t="n">
        <v>5</v>
      </c>
      <c r="J49" s="5" t="s">
        <v>84</v>
      </c>
      <c r="K49" s="5" t="s">
        <v>67</v>
      </c>
      <c r="L49" s="5" t="s">
        <v>46</v>
      </c>
      <c r="M49" s="5" t="s">
        <v>85</v>
      </c>
      <c r="N49" s="5" t="s">
        <v>422</v>
      </c>
      <c r="O49" s="5" t="s">
        <v>423</v>
      </c>
      <c r="P49" s="5" t="s">
        <v>352</v>
      </c>
      <c r="Q49" s="6" t="n">
        <v>3</v>
      </c>
      <c r="R49" s="6" t="n">
        <v>40</v>
      </c>
      <c r="S49" s="6" t="n">
        <f aca="false">SUMIFS(Allocations!$G$2:$G$274,Allocations!$B$2:$B$274,A49)</f>
        <v>26</v>
      </c>
      <c r="T49" s="8" t="n">
        <f aca="false">S49/R49</f>
        <v>0.65</v>
      </c>
      <c r="U49" s="6" t="n">
        <f aca="false">R49-S49</f>
        <v>14</v>
      </c>
      <c r="V49" s="6" t="str">
        <f aca="false">IF(T49&gt;1,"Overloaded",IF(T49&lt;0.5,"Underutilized","Healthy"))</f>
        <v>Healthy</v>
      </c>
      <c r="W49" s="5" t="s">
        <v>424</v>
      </c>
      <c r="X49" s="7"/>
      <c r="Y49" s="7"/>
      <c r="Z49" s="5"/>
    </row>
    <row r="50" customFormat="false" ht="15" hidden="false" customHeight="false" outlineLevel="0" collapsed="false">
      <c r="A50" s="5" t="s">
        <v>425</v>
      </c>
      <c r="B50" s="5" t="s">
        <v>426</v>
      </c>
      <c r="C50" s="5" t="s">
        <v>427</v>
      </c>
      <c r="D50" s="5" t="s">
        <v>93</v>
      </c>
      <c r="E50" s="5" t="s">
        <v>341</v>
      </c>
      <c r="F50" s="6" t="s">
        <v>55</v>
      </c>
      <c r="G50" s="5" t="s">
        <v>96</v>
      </c>
      <c r="H50" s="7" t="n">
        <v>44942</v>
      </c>
      <c r="I50" s="6" t="n">
        <v>4</v>
      </c>
      <c r="J50" s="5" t="s">
        <v>84</v>
      </c>
      <c r="K50" s="5" t="s">
        <v>67</v>
      </c>
      <c r="L50" s="5" t="s">
        <v>46</v>
      </c>
      <c r="M50" s="5" t="s">
        <v>57</v>
      </c>
      <c r="N50" s="5" t="s">
        <v>428</v>
      </c>
      <c r="O50" s="5" t="s">
        <v>429</v>
      </c>
      <c r="P50" s="5" t="s">
        <v>430</v>
      </c>
      <c r="Q50" s="6" t="n">
        <v>5</v>
      </c>
      <c r="R50" s="6" t="n">
        <v>40</v>
      </c>
      <c r="S50" s="6" t="n">
        <f aca="false">SUMIFS(Allocations!$G$2:$G$274,Allocations!$B$2:$B$274,A50)</f>
        <v>36</v>
      </c>
      <c r="T50" s="8" t="n">
        <f aca="false">S50/R50</f>
        <v>0.9</v>
      </c>
      <c r="U50" s="6" t="n">
        <f aca="false">R50-S50</f>
        <v>4</v>
      </c>
      <c r="V50" s="6" t="str">
        <f aca="false">IF(T50&gt;1,"Overloaded",IF(T50&lt;0.5,"Underutilized","Healthy"))</f>
        <v>Healthy</v>
      </c>
      <c r="W50" s="5" t="s">
        <v>431</v>
      </c>
      <c r="X50" s="7"/>
      <c r="Y50" s="7"/>
      <c r="Z50" s="5"/>
    </row>
    <row r="51" customFormat="false" ht="15" hidden="false" customHeight="false" outlineLevel="0" collapsed="false">
      <c r="A51" s="5" t="s">
        <v>432</v>
      </c>
      <c r="B51" s="5" t="s">
        <v>433</v>
      </c>
      <c r="C51" s="5" t="s">
        <v>434</v>
      </c>
      <c r="D51" s="5" t="s">
        <v>135</v>
      </c>
      <c r="E51" s="5" t="s">
        <v>177</v>
      </c>
      <c r="F51" s="6" t="s">
        <v>55</v>
      </c>
      <c r="G51" s="5" t="s">
        <v>137</v>
      </c>
      <c r="H51" s="7" t="n">
        <v>45065</v>
      </c>
      <c r="I51" s="6" t="n">
        <v>4</v>
      </c>
      <c r="J51" s="5" t="s">
        <v>66</v>
      </c>
      <c r="K51" s="5" t="s">
        <v>45</v>
      </c>
      <c r="L51" s="5" t="s">
        <v>46</v>
      </c>
      <c r="M51" s="5" t="s">
        <v>76</v>
      </c>
      <c r="N51" s="5" t="s">
        <v>435</v>
      </c>
      <c r="O51" s="5" t="s">
        <v>436</v>
      </c>
      <c r="P51" s="5" t="s">
        <v>437</v>
      </c>
      <c r="Q51" s="6" t="n">
        <v>4</v>
      </c>
      <c r="R51" s="6" t="n">
        <v>40</v>
      </c>
      <c r="S51" s="6" t="n">
        <f aca="false">SUMIFS(Allocations!$G$2:$G$274,Allocations!$B$2:$B$274,A51)</f>
        <v>24</v>
      </c>
      <c r="T51" s="8" t="n">
        <f aca="false">S51/R51</f>
        <v>0.6</v>
      </c>
      <c r="U51" s="6" t="n">
        <f aca="false">R51-S51</f>
        <v>16</v>
      </c>
      <c r="V51" s="6" t="str">
        <f aca="false">IF(T51&gt;1,"Overloaded",IF(T51&lt;0.5,"Underutilized","Healthy"))</f>
        <v>Healthy</v>
      </c>
      <c r="W51" s="5" t="s">
        <v>438</v>
      </c>
      <c r="X51" s="7"/>
      <c r="Y51" s="7"/>
      <c r="Z51" s="5"/>
    </row>
    <row r="52" customFormat="false" ht="15" hidden="false" customHeight="false" outlineLevel="0" collapsed="false">
      <c r="A52" s="5" t="s">
        <v>439</v>
      </c>
      <c r="B52" s="5" t="s">
        <v>440</v>
      </c>
      <c r="C52" s="5" t="s">
        <v>441</v>
      </c>
      <c r="D52" s="5" t="s">
        <v>135</v>
      </c>
      <c r="E52" s="5" t="s">
        <v>442</v>
      </c>
      <c r="F52" s="6" t="s">
        <v>161</v>
      </c>
      <c r="G52" s="5" t="s">
        <v>137</v>
      </c>
      <c r="H52" s="7" t="n">
        <v>45534</v>
      </c>
      <c r="I52" s="6" t="n">
        <v>2</v>
      </c>
      <c r="J52" s="5" t="s">
        <v>84</v>
      </c>
      <c r="K52" s="5" t="s">
        <v>45</v>
      </c>
      <c r="L52" s="5" t="s">
        <v>150</v>
      </c>
      <c r="M52" s="5" t="s">
        <v>151</v>
      </c>
      <c r="N52" s="5" t="s">
        <v>443</v>
      </c>
      <c r="O52" s="5" t="s">
        <v>444</v>
      </c>
      <c r="P52" s="5" t="s">
        <v>445</v>
      </c>
      <c r="Q52" s="6" t="n">
        <v>3</v>
      </c>
      <c r="R52" s="6" t="n">
        <v>40</v>
      </c>
      <c r="S52" s="6" t="n">
        <f aca="false">SUMIFS(Allocations!$G$2:$G$274,Allocations!$B$2:$B$274,A52)</f>
        <v>36</v>
      </c>
      <c r="T52" s="8" t="n">
        <f aca="false">S52/R52</f>
        <v>0.9</v>
      </c>
      <c r="U52" s="6" t="n">
        <f aca="false">R52-S52</f>
        <v>4</v>
      </c>
      <c r="V52" s="6" t="str">
        <f aca="false">IF(T52&gt;1,"Overloaded",IF(T52&lt;0.5,"Underutilized","Healthy"))</f>
        <v>Healthy</v>
      </c>
      <c r="W52" s="5" t="s">
        <v>446</v>
      </c>
      <c r="X52" s="7"/>
      <c r="Y52" s="7"/>
      <c r="Z52" s="5" t="s">
        <v>447</v>
      </c>
    </row>
    <row r="53" customFormat="false" ht="15" hidden="false" customHeight="false" outlineLevel="0" collapsed="false">
      <c r="A53" s="5" t="s">
        <v>448</v>
      </c>
      <c r="B53" s="5" t="s">
        <v>449</v>
      </c>
      <c r="C53" s="5" t="s">
        <v>450</v>
      </c>
      <c r="D53" s="5" t="s">
        <v>40</v>
      </c>
      <c r="E53" s="5" t="s">
        <v>54</v>
      </c>
      <c r="F53" s="6" t="s">
        <v>55</v>
      </c>
      <c r="G53" s="5" t="s">
        <v>43</v>
      </c>
      <c r="H53" s="7" t="n">
        <v>44766</v>
      </c>
      <c r="I53" s="6" t="n">
        <v>4</v>
      </c>
      <c r="J53" s="5" t="s">
        <v>44</v>
      </c>
      <c r="K53" s="5" t="s">
        <v>45</v>
      </c>
      <c r="L53" s="5" t="s">
        <v>46</v>
      </c>
      <c r="M53" s="5" t="s">
        <v>76</v>
      </c>
      <c r="N53" s="5" t="s">
        <v>451</v>
      </c>
      <c r="O53" s="5" t="s">
        <v>452</v>
      </c>
      <c r="P53" s="5" t="s">
        <v>49</v>
      </c>
      <c r="Q53" s="6" t="n">
        <v>5</v>
      </c>
      <c r="R53" s="6" t="n">
        <v>40</v>
      </c>
      <c r="S53" s="6" t="n">
        <f aca="false">SUMIFS(Allocations!$G$2:$G$274,Allocations!$B$2:$B$274,A53)</f>
        <v>28</v>
      </c>
      <c r="T53" s="8" t="n">
        <f aca="false">S53/R53</f>
        <v>0.7</v>
      </c>
      <c r="U53" s="6" t="n">
        <f aca="false">R53-S53</f>
        <v>12</v>
      </c>
      <c r="V53" s="6" t="str">
        <f aca="false">IF(T53&gt;1,"Overloaded",IF(T53&lt;0.5,"Underutilized","Healthy"))</f>
        <v>Healthy</v>
      </c>
      <c r="W53" s="5" t="s">
        <v>453</v>
      </c>
      <c r="X53" s="7"/>
      <c r="Y53" s="7"/>
      <c r="Z53" s="5" t="s">
        <v>454</v>
      </c>
    </row>
    <row r="54" customFormat="false" ht="15" hidden="false" customHeight="false" outlineLevel="0" collapsed="false">
      <c r="A54" s="5" t="s">
        <v>455</v>
      </c>
      <c r="B54" s="5" t="s">
        <v>456</v>
      </c>
      <c r="C54" s="5" t="s">
        <v>457</v>
      </c>
      <c r="D54" s="5" t="s">
        <v>311</v>
      </c>
      <c r="E54" s="5" t="s">
        <v>458</v>
      </c>
      <c r="F54" s="6" t="s">
        <v>42</v>
      </c>
      <c r="G54" s="5" t="s">
        <v>309</v>
      </c>
      <c r="H54" s="7" t="n">
        <v>43864</v>
      </c>
      <c r="I54" s="6" t="n">
        <v>6</v>
      </c>
      <c r="J54" s="5" t="s">
        <v>113</v>
      </c>
      <c r="K54" s="5" t="s">
        <v>45</v>
      </c>
      <c r="L54" s="5" t="s">
        <v>46</v>
      </c>
      <c r="M54" s="5" t="s">
        <v>47</v>
      </c>
      <c r="N54" s="5" t="s">
        <v>459</v>
      </c>
      <c r="O54" s="5" t="s">
        <v>359</v>
      </c>
      <c r="P54" s="5" t="s">
        <v>460</v>
      </c>
      <c r="Q54" s="6" t="n">
        <v>2</v>
      </c>
      <c r="R54" s="6" t="n">
        <v>40</v>
      </c>
      <c r="S54" s="6" t="n">
        <f aca="false">SUMIFS(Allocations!$G$2:$G$274,Allocations!$B$2:$B$274,A54)</f>
        <v>36</v>
      </c>
      <c r="T54" s="8" t="n">
        <f aca="false">S54/R54</f>
        <v>0.9</v>
      </c>
      <c r="U54" s="6" t="n">
        <f aca="false">R54-S54</f>
        <v>4</v>
      </c>
      <c r="V54" s="6" t="str">
        <f aca="false">IF(T54&gt;1,"Overloaded",IF(T54&lt;0.5,"Underutilized","Healthy"))</f>
        <v>Healthy</v>
      </c>
      <c r="W54" s="5" t="s">
        <v>461</v>
      </c>
      <c r="X54" s="7"/>
      <c r="Y54" s="7"/>
      <c r="Z54" s="5" t="s">
        <v>462</v>
      </c>
    </row>
    <row r="55" customFormat="false" ht="15" hidden="false" customHeight="false" outlineLevel="0" collapsed="false">
      <c r="A55" s="5" t="s">
        <v>463</v>
      </c>
      <c r="B55" s="5" t="s">
        <v>464</v>
      </c>
      <c r="C55" s="5" t="s">
        <v>465</v>
      </c>
      <c r="D55" s="5" t="s">
        <v>135</v>
      </c>
      <c r="E55" s="5" t="s">
        <v>326</v>
      </c>
      <c r="F55" s="6" t="s">
        <v>42</v>
      </c>
      <c r="G55" s="5" t="s">
        <v>137</v>
      </c>
      <c r="H55" s="7" t="n">
        <v>45409</v>
      </c>
      <c r="I55" s="6" t="n">
        <v>5</v>
      </c>
      <c r="J55" s="5" t="s">
        <v>56</v>
      </c>
      <c r="K55" s="5" t="s">
        <v>45</v>
      </c>
      <c r="L55" s="5" t="s">
        <v>46</v>
      </c>
      <c r="M55" s="5" t="s">
        <v>85</v>
      </c>
      <c r="N55" s="5" t="s">
        <v>399</v>
      </c>
      <c r="O55" s="5" t="s">
        <v>466</v>
      </c>
      <c r="P55" s="5" t="s">
        <v>467</v>
      </c>
      <c r="Q55" s="6" t="n">
        <v>3</v>
      </c>
      <c r="R55" s="6" t="n">
        <v>40</v>
      </c>
      <c r="S55" s="6" t="n">
        <f aca="false">SUMIFS(Allocations!$G$2:$G$274,Allocations!$B$2:$B$274,A55)</f>
        <v>30</v>
      </c>
      <c r="T55" s="8" t="n">
        <f aca="false">S55/R55</f>
        <v>0.75</v>
      </c>
      <c r="U55" s="6" t="n">
        <f aca="false">R55-S55</f>
        <v>10</v>
      </c>
      <c r="V55" s="6" t="str">
        <f aca="false">IF(T55&gt;1,"Overloaded",IF(T55&lt;0.5,"Underutilized","Healthy"))</f>
        <v>Healthy</v>
      </c>
      <c r="W55" s="5" t="s">
        <v>468</v>
      </c>
      <c r="X55" s="7"/>
      <c r="Y55" s="7"/>
      <c r="Z55" s="5" t="s">
        <v>181</v>
      </c>
    </row>
    <row r="56" customFormat="false" ht="15" hidden="false" customHeight="false" outlineLevel="0" collapsed="false">
      <c r="A56" s="5" t="s">
        <v>469</v>
      </c>
      <c r="B56" s="5" t="s">
        <v>470</v>
      </c>
      <c r="C56" s="5" t="s">
        <v>471</v>
      </c>
      <c r="D56" s="5" t="s">
        <v>93</v>
      </c>
      <c r="E56" s="5" t="s">
        <v>472</v>
      </c>
      <c r="F56" s="6" t="s">
        <v>55</v>
      </c>
      <c r="G56" s="5" t="s">
        <v>96</v>
      </c>
      <c r="H56" s="7" t="n">
        <v>44993</v>
      </c>
      <c r="I56" s="6" t="n">
        <v>3</v>
      </c>
      <c r="J56" s="5" t="s">
        <v>84</v>
      </c>
      <c r="K56" s="5" t="s">
        <v>67</v>
      </c>
      <c r="L56" s="5" t="s">
        <v>46</v>
      </c>
      <c r="M56" s="5" t="s">
        <v>76</v>
      </c>
      <c r="N56" s="5" t="s">
        <v>473</v>
      </c>
      <c r="O56" s="5" t="s">
        <v>474</v>
      </c>
      <c r="P56" s="5" t="s">
        <v>430</v>
      </c>
      <c r="Q56" s="6" t="n">
        <v>4</v>
      </c>
      <c r="R56" s="6" t="n">
        <v>40</v>
      </c>
      <c r="S56" s="6" t="n">
        <f aca="false">SUMIFS(Allocations!$G$2:$G$274,Allocations!$B$2:$B$274,A56)</f>
        <v>34</v>
      </c>
      <c r="T56" s="8" t="n">
        <f aca="false">S56/R56</f>
        <v>0.85</v>
      </c>
      <c r="U56" s="6" t="n">
        <f aca="false">R56-S56</f>
        <v>6</v>
      </c>
      <c r="V56" s="6" t="str">
        <f aca="false">IF(T56&gt;1,"Overloaded",IF(T56&lt;0.5,"Underutilized","Healthy"))</f>
        <v>Healthy</v>
      </c>
      <c r="W56" s="5" t="s">
        <v>475</v>
      </c>
      <c r="X56" s="7"/>
      <c r="Y56" s="7"/>
      <c r="Z56" s="5" t="s">
        <v>476</v>
      </c>
    </row>
    <row r="57" customFormat="false" ht="15" hidden="false" customHeight="false" outlineLevel="0" collapsed="false">
      <c r="A57" s="5" t="s">
        <v>477</v>
      </c>
      <c r="B57" s="5" t="s">
        <v>478</v>
      </c>
      <c r="C57" s="5" t="s">
        <v>479</v>
      </c>
      <c r="D57" s="5" t="s">
        <v>135</v>
      </c>
      <c r="E57" s="5" t="s">
        <v>480</v>
      </c>
      <c r="F57" s="6" t="s">
        <v>55</v>
      </c>
      <c r="G57" s="5" t="s">
        <v>137</v>
      </c>
      <c r="H57" s="7" t="n">
        <v>44995</v>
      </c>
      <c r="I57" s="6" t="n">
        <v>3</v>
      </c>
      <c r="J57" s="5" t="s">
        <v>56</v>
      </c>
      <c r="K57" s="5" t="s">
        <v>45</v>
      </c>
      <c r="L57" s="5" t="s">
        <v>46</v>
      </c>
      <c r="M57" s="5" t="s">
        <v>47</v>
      </c>
      <c r="N57" s="5" t="s">
        <v>481</v>
      </c>
      <c r="O57" s="5" t="s">
        <v>482</v>
      </c>
      <c r="P57" s="5"/>
      <c r="Q57" s="6" t="n">
        <v>4</v>
      </c>
      <c r="R57" s="6" t="n">
        <v>40</v>
      </c>
      <c r="S57" s="6" t="n">
        <f aca="false">SUMIFS(Allocations!$G$2:$G$274,Allocations!$B$2:$B$274,A57)</f>
        <v>24</v>
      </c>
      <c r="T57" s="8" t="n">
        <f aca="false">S57/R57</f>
        <v>0.6</v>
      </c>
      <c r="U57" s="6" t="n">
        <f aca="false">R57-S57</f>
        <v>16</v>
      </c>
      <c r="V57" s="6" t="str">
        <f aca="false">IF(T57&gt;1,"Overloaded",IF(T57&lt;0.5,"Underutilized","Healthy"))</f>
        <v>Healthy</v>
      </c>
      <c r="W57" s="5" t="s">
        <v>483</v>
      </c>
      <c r="X57" s="7"/>
      <c r="Y57" s="7"/>
      <c r="Z57" s="5" t="s">
        <v>484</v>
      </c>
    </row>
    <row r="58" customFormat="false" ht="15" hidden="false" customHeight="false" outlineLevel="0" collapsed="false">
      <c r="A58" s="5" t="s">
        <v>485</v>
      </c>
      <c r="B58" s="5" t="s">
        <v>486</v>
      </c>
      <c r="C58" s="5" t="s">
        <v>487</v>
      </c>
      <c r="D58" s="5" t="s">
        <v>93</v>
      </c>
      <c r="E58" s="5" t="s">
        <v>488</v>
      </c>
      <c r="F58" s="6" t="s">
        <v>161</v>
      </c>
      <c r="G58" s="5" t="s">
        <v>96</v>
      </c>
      <c r="H58" s="7" t="n">
        <v>45741</v>
      </c>
      <c r="I58" s="6" t="n">
        <v>1</v>
      </c>
      <c r="J58" s="5" t="s">
        <v>84</v>
      </c>
      <c r="K58" s="5" t="s">
        <v>149</v>
      </c>
      <c r="L58" s="5" t="s">
        <v>46</v>
      </c>
      <c r="M58" s="5" t="s">
        <v>47</v>
      </c>
      <c r="N58" s="5" t="s">
        <v>489</v>
      </c>
      <c r="O58" s="5" t="s">
        <v>490</v>
      </c>
      <c r="P58" s="5" t="s">
        <v>154</v>
      </c>
      <c r="Q58" s="6" t="n">
        <v>5</v>
      </c>
      <c r="R58" s="6" t="n">
        <v>40</v>
      </c>
      <c r="S58" s="6" t="n">
        <f aca="false">SUMIFS(Allocations!$G$2:$G$274,Allocations!$B$2:$B$274,A58)</f>
        <v>32</v>
      </c>
      <c r="T58" s="8" t="n">
        <f aca="false">S58/R58</f>
        <v>0.8</v>
      </c>
      <c r="U58" s="6" t="n">
        <f aca="false">R58-S58</f>
        <v>8</v>
      </c>
      <c r="V58" s="6" t="str">
        <f aca="false">IF(T58&gt;1,"Overloaded",IF(T58&lt;0.5,"Underutilized","Healthy"))</f>
        <v>Healthy</v>
      </c>
      <c r="W58" s="5" t="s">
        <v>491</v>
      </c>
      <c r="X58" s="7"/>
      <c r="Y58" s="7"/>
      <c r="Z58" s="5" t="s">
        <v>492</v>
      </c>
    </row>
    <row r="59" customFormat="false" ht="15" hidden="false" customHeight="false" outlineLevel="0" collapsed="false">
      <c r="A59" s="5" t="s">
        <v>493</v>
      </c>
      <c r="B59" s="5" t="s">
        <v>494</v>
      </c>
      <c r="C59" s="5" t="s">
        <v>495</v>
      </c>
      <c r="D59" s="5" t="s">
        <v>63</v>
      </c>
      <c r="E59" s="5" t="s">
        <v>496</v>
      </c>
      <c r="F59" s="6" t="s">
        <v>42</v>
      </c>
      <c r="G59" s="5" t="s">
        <v>65</v>
      </c>
      <c r="H59" s="7" t="n">
        <v>45478</v>
      </c>
      <c r="I59" s="6" t="n">
        <v>5</v>
      </c>
      <c r="J59" s="5" t="s">
        <v>84</v>
      </c>
      <c r="K59" s="5" t="s">
        <v>67</v>
      </c>
      <c r="L59" s="5" t="s">
        <v>46</v>
      </c>
      <c r="M59" s="5" t="s">
        <v>47</v>
      </c>
      <c r="N59" s="5" t="s">
        <v>69</v>
      </c>
      <c r="O59" s="5" t="s">
        <v>497</v>
      </c>
      <c r="P59" s="5"/>
      <c r="Q59" s="6" t="n">
        <v>3</v>
      </c>
      <c r="R59" s="6" t="n">
        <v>32</v>
      </c>
      <c r="S59" s="6" t="n">
        <f aca="false">SUMIFS(Allocations!$G$2:$G$274,Allocations!$B$2:$B$274,A59)</f>
        <v>21</v>
      </c>
      <c r="T59" s="8" t="n">
        <f aca="false">S59/R59</f>
        <v>0.65625</v>
      </c>
      <c r="U59" s="6" t="n">
        <f aca="false">R59-S59</f>
        <v>11</v>
      </c>
      <c r="V59" s="6" t="str">
        <f aca="false">IF(T59&gt;1,"Overloaded",IF(T59&lt;0.5,"Underutilized","Healthy"))</f>
        <v>Healthy</v>
      </c>
      <c r="W59" s="5" t="s">
        <v>498</v>
      </c>
      <c r="X59" s="7"/>
      <c r="Y59" s="7"/>
      <c r="Z59" s="5" t="s">
        <v>499</v>
      </c>
    </row>
    <row r="60" customFormat="false" ht="15" hidden="false" customHeight="false" outlineLevel="0" collapsed="false">
      <c r="A60" s="5" t="s">
        <v>500</v>
      </c>
      <c r="B60" s="5" t="s">
        <v>501</v>
      </c>
      <c r="C60" s="5" t="s">
        <v>502</v>
      </c>
      <c r="D60" s="5" t="s">
        <v>63</v>
      </c>
      <c r="E60" s="5" t="s">
        <v>160</v>
      </c>
      <c r="F60" s="6" t="s">
        <v>161</v>
      </c>
      <c r="G60" s="5" t="s">
        <v>65</v>
      </c>
      <c r="H60" s="7" t="n">
        <v>46181</v>
      </c>
      <c r="I60" s="6" t="n">
        <v>2</v>
      </c>
      <c r="J60" s="5" t="s">
        <v>84</v>
      </c>
      <c r="K60" s="5" t="s">
        <v>149</v>
      </c>
      <c r="L60" s="5" t="s">
        <v>46</v>
      </c>
      <c r="M60" s="5" t="s">
        <v>47</v>
      </c>
      <c r="N60" s="5" t="s">
        <v>503</v>
      </c>
      <c r="O60" s="5" t="s">
        <v>504</v>
      </c>
      <c r="P60" s="5" t="s">
        <v>214</v>
      </c>
      <c r="Q60" s="6" t="n">
        <v>3</v>
      </c>
      <c r="R60" s="6" t="n">
        <v>40</v>
      </c>
      <c r="S60" s="6" t="n">
        <f aca="false">SUMIFS(Allocations!$G$2:$G$274,Allocations!$B$2:$B$274,A60)</f>
        <v>36</v>
      </c>
      <c r="T60" s="8" t="n">
        <f aca="false">S60/R60</f>
        <v>0.9</v>
      </c>
      <c r="U60" s="6" t="n">
        <f aca="false">R60-S60</f>
        <v>4</v>
      </c>
      <c r="V60" s="6" t="str">
        <f aca="false">IF(T60&gt;1,"Overloaded",IF(T60&lt;0.5,"Underutilized","Healthy"))</f>
        <v>Healthy</v>
      </c>
      <c r="W60" s="5" t="s">
        <v>505</v>
      </c>
      <c r="X60" s="7"/>
      <c r="Y60" s="7"/>
      <c r="Z60" s="5" t="s">
        <v>506</v>
      </c>
    </row>
    <row r="61" customFormat="false" ht="15" hidden="false" customHeight="false" outlineLevel="0" collapsed="false">
      <c r="A61" s="5" t="s">
        <v>507</v>
      </c>
      <c r="B61" s="5" t="s">
        <v>508</v>
      </c>
      <c r="C61" s="5" t="s">
        <v>509</v>
      </c>
      <c r="D61" s="5" t="s">
        <v>63</v>
      </c>
      <c r="E61" s="5" t="s">
        <v>83</v>
      </c>
      <c r="F61" s="6" t="s">
        <v>42</v>
      </c>
      <c r="G61" s="5" t="s">
        <v>65</v>
      </c>
      <c r="H61" s="7" t="n">
        <v>45847</v>
      </c>
      <c r="I61" s="6" t="n">
        <v>5</v>
      </c>
      <c r="J61" s="5" t="s">
        <v>44</v>
      </c>
      <c r="K61" s="5" t="s">
        <v>67</v>
      </c>
      <c r="L61" s="5" t="s">
        <v>46</v>
      </c>
      <c r="M61" s="5" t="s">
        <v>57</v>
      </c>
      <c r="N61" s="5" t="s">
        <v>510</v>
      </c>
      <c r="O61" s="5" t="s">
        <v>511</v>
      </c>
      <c r="P61" s="5"/>
      <c r="Q61" s="6" t="n">
        <v>4</v>
      </c>
      <c r="R61" s="6" t="n">
        <v>40</v>
      </c>
      <c r="S61" s="6" t="n">
        <f aca="false">SUMIFS(Allocations!$G$2:$G$274,Allocations!$B$2:$B$274,A61)</f>
        <v>36</v>
      </c>
      <c r="T61" s="8" t="n">
        <f aca="false">S61/R61</f>
        <v>0.9</v>
      </c>
      <c r="U61" s="6" t="n">
        <f aca="false">R61-S61</f>
        <v>4</v>
      </c>
      <c r="V61" s="6" t="str">
        <f aca="false">IF(T61&gt;1,"Overloaded",IF(T61&lt;0.5,"Underutilized","Healthy"))</f>
        <v>Healthy</v>
      </c>
      <c r="W61" s="5" t="s">
        <v>512</v>
      </c>
      <c r="X61" s="7"/>
      <c r="Y61" s="7"/>
      <c r="Z61" s="5" t="s">
        <v>513</v>
      </c>
    </row>
    <row r="62" customFormat="false" ht="15" hidden="false" customHeight="false" outlineLevel="0" collapsed="false">
      <c r="A62" s="5" t="s">
        <v>514</v>
      </c>
      <c r="B62" s="5" t="s">
        <v>515</v>
      </c>
      <c r="C62" s="5" t="s">
        <v>516</v>
      </c>
      <c r="D62" s="5" t="s">
        <v>63</v>
      </c>
      <c r="E62" s="5" t="s">
        <v>185</v>
      </c>
      <c r="F62" s="6" t="s">
        <v>42</v>
      </c>
      <c r="G62" s="5" t="s">
        <v>65</v>
      </c>
      <c r="H62" s="7" t="n">
        <v>44390</v>
      </c>
      <c r="I62" s="6" t="n">
        <v>5</v>
      </c>
      <c r="J62" s="5" t="s">
        <v>84</v>
      </c>
      <c r="K62" s="5" t="s">
        <v>67</v>
      </c>
      <c r="L62" s="5" t="s">
        <v>46</v>
      </c>
      <c r="M62" s="5" t="s">
        <v>76</v>
      </c>
      <c r="N62" s="5" t="s">
        <v>234</v>
      </c>
      <c r="O62" s="5" t="s">
        <v>517</v>
      </c>
      <c r="P62" s="5"/>
      <c r="Q62" s="6" t="n">
        <v>4</v>
      </c>
      <c r="R62" s="6" t="n">
        <v>40</v>
      </c>
      <c r="S62" s="6" t="n">
        <f aca="false">SUMIFS(Allocations!$G$2:$G$274,Allocations!$B$2:$B$274,A62)</f>
        <v>24</v>
      </c>
      <c r="T62" s="8" t="n">
        <f aca="false">S62/R62</f>
        <v>0.6</v>
      </c>
      <c r="U62" s="6" t="n">
        <f aca="false">R62-S62</f>
        <v>16</v>
      </c>
      <c r="V62" s="6" t="str">
        <f aca="false">IF(T62&gt;1,"Overloaded",IF(T62&lt;0.5,"Underutilized","Healthy"))</f>
        <v>Healthy</v>
      </c>
      <c r="W62" s="5" t="s">
        <v>518</v>
      </c>
      <c r="X62" s="7"/>
      <c r="Y62" s="7"/>
      <c r="Z62" s="5" t="s">
        <v>519</v>
      </c>
    </row>
    <row r="63" customFormat="false" ht="15" hidden="false" customHeight="false" outlineLevel="0" collapsed="false">
      <c r="A63" s="5" t="s">
        <v>520</v>
      </c>
      <c r="B63" s="5" t="s">
        <v>521</v>
      </c>
      <c r="C63" s="5" t="s">
        <v>522</v>
      </c>
      <c r="D63" s="5" t="s">
        <v>63</v>
      </c>
      <c r="E63" s="5" t="s">
        <v>414</v>
      </c>
      <c r="F63" s="6" t="s">
        <v>161</v>
      </c>
      <c r="G63" s="5" t="s">
        <v>65</v>
      </c>
      <c r="H63" s="7" t="n">
        <v>45309</v>
      </c>
      <c r="I63" s="6" t="n">
        <v>2</v>
      </c>
      <c r="J63" s="5" t="s">
        <v>84</v>
      </c>
      <c r="K63" s="5" t="s">
        <v>67</v>
      </c>
      <c r="L63" s="5" t="s">
        <v>46</v>
      </c>
      <c r="M63" s="5" t="s">
        <v>169</v>
      </c>
      <c r="N63" s="5" t="s">
        <v>234</v>
      </c>
      <c r="O63" s="5" t="s">
        <v>523</v>
      </c>
      <c r="P63" s="5"/>
      <c r="Q63" s="6" t="n">
        <v>3</v>
      </c>
      <c r="R63" s="6" t="n">
        <v>40</v>
      </c>
      <c r="S63" s="6" t="n">
        <f aca="false">SUMIFS(Allocations!$G$2:$G$274,Allocations!$B$2:$B$274,A63)</f>
        <v>28</v>
      </c>
      <c r="T63" s="8" t="n">
        <f aca="false">S63/R63</f>
        <v>0.7</v>
      </c>
      <c r="U63" s="6" t="n">
        <f aca="false">R63-S63</f>
        <v>12</v>
      </c>
      <c r="V63" s="6" t="str">
        <f aca="false">IF(T63&gt;1,"Overloaded",IF(T63&lt;0.5,"Underutilized","Healthy"))</f>
        <v>Healthy</v>
      </c>
      <c r="W63" s="5" t="s">
        <v>524</v>
      </c>
      <c r="X63" s="7" t="n">
        <v>46331</v>
      </c>
      <c r="Y63" s="7" t="n">
        <v>46335</v>
      </c>
      <c r="Z63" s="5" t="s">
        <v>79</v>
      </c>
    </row>
    <row r="64" customFormat="false" ht="15" hidden="false" customHeight="false" outlineLevel="0" collapsed="false">
      <c r="A64" s="5" t="s">
        <v>525</v>
      </c>
      <c r="B64" s="5" t="s">
        <v>526</v>
      </c>
      <c r="C64" s="5" t="s">
        <v>527</v>
      </c>
      <c r="D64" s="5" t="s">
        <v>63</v>
      </c>
      <c r="E64" s="5" t="s">
        <v>83</v>
      </c>
      <c r="F64" s="6" t="s">
        <v>42</v>
      </c>
      <c r="G64" s="5" t="s">
        <v>65</v>
      </c>
      <c r="H64" s="7" t="n">
        <v>43709</v>
      </c>
      <c r="I64" s="6" t="n">
        <v>7</v>
      </c>
      <c r="J64" s="5" t="s">
        <v>84</v>
      </c>
      <c r="K64" s="5" t="s">
        <v>45</v>
      </c>
      <c r="L64" s="5" t="s">
        <v>46</v>
      </c>
      <c r="M64" s="5" t="s">
        <v>47</v>
      </c>
      <c r="N64" s="5" t="s">
        <v>528</v>
      </c>
      <c r="O64" s="5" t="s">
        <v>529</v>
      </c>
      <c r="P64" s="5"/>
      <c r="Q64" s="6" t="n">
        <v>4</v>
      </c>
      <c r="R64" s="6" t="n">
        <v>40</v>
      </c>
      <c r="S64" s="6" t="n">
        <f aca="false">SUMIFS(Allocations!$G$2:$G$274,Allocations!$B$2:$B$274,A64)</f>
        <v>36</v>
      </c>
      <c r="T64" s="8" t="n">
        <f aca="false">S64/R64</f>
        <v>0.9</v>
      </c>
      <c r="U64" s="6" t="n">
        <f aca="false">R64-S64</f>
        <v>4</v>
      </c>
      <c r="V64" s="6" t="str">
        <f aca="false">IF(T64&gt;1,"Overloaded",IF(T64&lt;0.5,"Underutilized","Healthy"))</f>
        <v>Healthy</v>
      </c>
      <c r="W64" s="5" t="s">
        <v>530</v>
      </c>
      <c r="X64" s="7"/>
      <c r="Y64" s="7"/>
      <c r="Z64" s="5"/>
    </row>
    <row r="65" customFormat="false" ht="15" hidden="false" customHeight="false" outlineLevel="0" collapsed="false">
      <c r="A65" s="5" t="s">
        <v>531</v>
      </c>
      <c r="B65" s="5" t="s">
        <v>532</v>
      </c>
      <c r="C65" s="5" t="s">
        <v>533</v>
      </c>
      <c r="D65" s="5" t="s">
        <v>63</v>
      </c>
      <c r="E65" s="5" t="s">
        <v>414</v>
      </c>
      <c r="F65" s="6" t="s">
        <v>161</v>
      </c>
      <c r="G65" s="5" t="s">
        <v>65</v>
      </c>
      <c r="H65" s="7" t="n">
        <v>45325</v>
      </c>
      <c r="I65" s="6" t="n">
        <v>2</v>
      </c>
      <c r="J65" s="5" t="s">
        <v>113</v>
      </c>
      <c r="K65" s="5" t="s">
        <v>67</v>
      </c>
      <c r="L65" s="5" t="s">
        <v>46</v>
      </c>
      <c r="M65" s="5" t="s">
        <v>57</v>
      </c>
      <c r="N65" s="5" t="s">
        <v>534</v>
      </c>
      <c r="O65" s="5" t="s">
        <v>535</v>
      </c>
      <c r="P65" s="5" t="s">
        <v>214</v>
      </c>
      <c r="Q65" s="6" t="n">
        <v>3</v>
      </c>
      <c r="R65" s="6" t="n">
        <v>40</v>
      </c>
      <c r="S65" s="6" t="n">
        <f aca="false">SUMIFS(Allocations!$G$2:$G$274,Allocations!$B$2:$B$274,A65)</f>
        <v>32</v>
      </c>
      <c r="T65" s="8" t="n">
        <f aca="false">S65/R65</f>
        <v>0.8</v>
      </c>
      <c r="U65" s="6" t="n">
        <f aca="false">R65-S65</f>
        <v>8</v>
      </c>
      <c r="V65" s="6" t="str">
        <f aca="false">IF(T65&gt;1,"Overloaded",IF(T65&lt;0.5,"Underutilized","Healthy"))</f>
        <v>Healthy</v>
      </c>
      <c r="W65" s="5" t="s">
        <v>536</v>
      </c>
      <c r="X65" s="7"/>
      <c r="Y65" s="7"/>
      <c r="Z65" s="5" t="s">
        <v>537</v>
      </c>
    </row>
    <row r="66" customFormat="false" ht="15" hidden="false" customHeight="false" outlineLevel="0" collapsed="false">
      <c r="A66" s="5" t="s">
        <v>538</v>
      </c>
      <c r="B66" s="5" t="s">
        <v>539</v>
      </c>
      <c r="C66" s="5" t="s">
        <v>540</v>
      </c>
      <c r="D66" s="5" t="s">
        <v>93</v>
      </c>
      <c r="E66" s="5" t="s">
        <v>541</v>
      </c>
      <c r="F66" s="6" t="s">
        <v>161</v>
      </c>
      <c r="G66" s="5" t="s">
        <v>96</v>
      </c>
      <c r="H66" s="7" t="n">
        <v>45698</v>
      </c>
      <c r="I66" s="6" t="n">
        <v>1</v>
      </c>
      <c r="J66" s="5" t="s">
        <v>56</v>
      </c>
      <c r="K66" s="5" t="s">
        <v>45</v>
      </c>
      <c r="L66" s="5" t="s">
        <v>46</v>
      </c>
      <c r="M66" s="5" t="s">
        <v>57</v>
      </c>
      <c r="N66" s="5" t="s">
        <v>428</v>
      </c>
      <c r="O66" s="5" t="s">
        <v>542</v>
      </c>
      <c r="P66" s="5"/>
      <c r="Q66" s="6" t="n">
        <v>4</v>
      </c>
      <c r="R66" s="6" t="n">
        <v>40</v>
      </c>
      <c r="S66" s="6" t="n">
        <f aca="false">SUMIFS(Allocations!$G$2:$G$274,Allocations!$B$2:$B$274,A66)</f>
        <v>32</v>
      </c>
      <c r="T66" s="8" t="n">
        <f aca="false">S66/R66</f>
        <v>0.8</v>
      </c>
      <c r="U66" s="6" t="n">
        <f aca="false">R66-S66</f>
        <v>8</v>
      </c>
      <c r="V66" s="6" t="str">
        <f aca="false">IF(T66&gt;1,"Overloaded",IF(T66&lt;0.5,"Underutilized","Healthy"))</f>
        <v>Healthy</v>
      </c>
      <c r="W66" s="5" t="s">
        <v>543</v>
      </c>
      <c r="X66" s="7"/>
      <c r="Y66" s="7"/>
      <c r="Z66" s="5" t="s">
        <v>544</v>
      </c>
    </row>
    <row r="67" customFormat="false" ht="15" hidden="false" customHeight="false" outlineLevel="0" collapsed="false">
      <c r="A67" s="5" t="s">
        <v>545</v>
      </c>
      <c r="B67" s="5" t="s">
        <v>546</v>
      </c>
      <c r="C67" s="5" t="s">
        <v>547</v>
      </c>
      <c r="D67" s="5" t="s">
        <v>202</v>
      </c>
      <c r="E67" s="5" t="s">
        <v>548</v>
      </c>
      <c r="F67" s="6" t="s">
        <v>42</v>
      </c>
      <c r="G67" s="5" t="s">
        <v>204</v>
      </c>
      <c r="H67" s="7" t="n">
        <v>44669</v>
      </c>
      <c r="I67" s="6" t="n">
        <v>5</v>
      </c>
      <c r="J67" s="5" t="s">
        <v>84</v>
      </c>
      <c r="K67" s="5" t="s">
        <v>149</v>
      </c>
      <c r="L67" s="5" t="s">
        <v>46</v>
      </c>
      <c r="M67" s="5" t="s">
        <v>68</v>
      </c>
      <c r="N67" s="5" t="s">
        <v>334</v>
      </c>
      <c r="O67" s="5"/>
      <c r="P67" s="5"/>
      <c r="Q67" s="6" t="n">
        <v>5</v>
      </c>
      <c r="R67" s="6" t="n">
        <v>40</v>
      </c>
      <c r="S67" s="6" t="n">
        <f aca="false">SUMIFS(Allocations!$G$2:$G$274,Allocations!$B$2:$B$274,A67)</f>
        <v>34</v>
      </c>
      <c r="T67" s="8" t="n">
        <f aca="false">S67/R67</f>
        <v>0.85</v>
      </c>
      <c r="U67" s="6" t="n">
        <f aca="false">R67-S67</f>
        <v>6</v>
      </c>
      <c r="V67" s="6" t="str">
        <f aca="false">IF(T67&gt;1,"Overloaded",IF(T67&lt;0.5,"Underutilized","Healthy"))</f>
        <v>Healthy</v>
      </c>
      <c r="W67" s="5" t="s">
        <v>549</v>
      </c>
      <c r="X67" s="7"/>
      <c r="Y67" s="7"/>
      <c r="Z67" s="5" t="s">
        <v>550</v>
      </c>
    </row>
    <row r="68" customFormat="false" ht="15" hidden="false" customHeight="false" outlineLevel="0" collapsed="false">
      <c r="A68" s="5" t="s">
        <v>551</v>
      </c>
      <c r="B68" s="5" t="s">
        <v>552</v>
      </c>
      <c r="C68" s="5" t="s">
        <v>553</v>
      </c>
      <c r="D68" s="5" t="s">
        <v>93</v>
      </c>
      <c r="E68" s="5" t="s">
        <v>554</v>
      </c>
      <c r="F68" s="6" t="s">
        <v>120</v>
      </c>
      <c r="G68" s="5" t="s">
        <v>96</v>
      </c>
      <c r="H68" s="7" t="n">
        <v>44387</v>
      </c>
      <c r="I68" s="6" t="n">
        <v>11</v>
      </c>
      <c r="J68" s="5" t="s">
        <v>56</v>
      </c>
      <c r="K68" s="5" t="s">
        <v>149</v>
      </c>
      <c r="L68" s="5" t="s">
        <v>46</v>
      </c>
      <c r="M68" s="5" t="s">
        <v>151</v>
      </c>
      <c r="N68" s="5" t="s">
        <v>555</v>
      </c>
      <c r="O68" s="5" t="s">
        <v>556</v>
      </c>
      <c r="P68" s="5" t="s">
        <v>557</v>
      </c>
      <c r="Q68" s="6" t="n">
        <v>3</v>
      </c>
      <c r="R68" s="6" t="n">
        <v>40</v>
      </c>
      <c r="S68" s="6" t="n">
        <f aca="false">SUMIFS(Allocations!$G$2:$G$274,Allocations!$B$2:$B$274,A68)</f>
        <v>28</v>
      </c>
      <c r="T68" s="8" t="n">
        <f aca="false">S68/R68</f>
        <v>0.7</v>
      </c>
      <c r="U68" s="6" t="n">
        <f aca="false">R68-S68</f>
        <v>12</v>
      </c>
      <c r="V68" s="6" t="str">
        <f aca="false">IF(T68&gt;1,"Overloaded",IF(T68&lt;0.5,"Underutilized","Healthy"))</f>
        <v>Healthy</v>
      </c>
      <c r="W68" s="5" t="s">
        <v>558</v>
      </c>
      <c r="X68" s="7"/>
      <c r="Y68" s="7"/>
      <c r="Z68" s="5"/>
    </row>
    <row r="69" customFormat="false" ht="15" hidden="false" customHeight="false" outlineLevel="0" collapsed="false">
      <c r="A69" s="5" t="s">
        <v>559</v>
      </c>
      <c r="B69" s="5" t="s">
        <v>560</v>
      </c>
      <c r="C69" s="5" t="s">
        <v>561</v>
      </c>
      <c r="D69" s="5" t="s">
        <v>63</v>
      </c>
      <c r="E69" s="5" t="s">
        <v>105</v>
      </c>
      <c r="F69" s="6" t="s">
        <v>55</v>
      </c>
      <c r="G69" s="5" t="s">
        <v>65</v>
      </c>
      <c r="H69" s="7" t="n">
        <v>44820</v>
      </c>
      <c r="I69" s="6" t="n">
        <v>4</v>
      </c>
      <c r="J69" s="5" t="s">
        <v>56</v>
      </c>
      <c r="K69" s="5" t="s">
        <v>45</v>
      </c>
      <c r="L69" s="5" t="s">
        <v>46</v>
      </c>
      <c r="M69" s="5" t="s">
        <v>169</v>
      </c>
      <c r="N69" s="5" t="s">
        <v>562</v>
      </c>
      <c r="O69" s="5" t="s">
        <v>563</v>
      </c>
      <c r="P69" s="5"/>
      <c r="Q69" s="6" t="n">
        <v>4</v>
      </c>
      <c r="R69" s="6" t="n">
        <v>40</v>
      </c>
      <c r="S69" s="6" t="n">
        <f aca="false">SUMIFS(Allocations!$G$2:$G$274,Allocations!$B$2:$B$274,A69)</f>
        <v>12</v>
      </c>
      <c r="T69" s="8" t="n">
        <f aca="false">S69/R69</f>
        <v>0.3</v>
      </c>
      <c r="U69" s="6" t="n">
        <f aca="false">R69-S69</f>
        <v>28</v>
      </c>
      <c r="V69" s="6" t="str">
        <f aca="false">IF(T69&gt;1,"Overloaded",IF(T69&lt;0.5,"Underutilized","Healthy"))</f>
        <v>Underutilized</v>
      </c>
      <c r="W69" s="5" t="s">
        <v>564</v>
      </c>
      <c r="X69" s="7"/>
      <c r="Y69" s="7"/>
      <c r="Z69" s="5"/>
    </row>
    <row r="70" customFormat="false" ht="15" hidden="false" customHeight="false" outlineLevel="0" collapsed="false">
      <c r="A70" s="5" t="s">
        <v>565</v>
      </c>
      <c r="B70" s="5" t="s">
        <v>566</v>
      </c>
      <c r="C70" s="5" t="s">
        <v>567</v>
      </c>
      <c r="D70" s="5" t="s">
        <v>135</v>
      </c>
      <c r="E70" s="5" t="s">
        <v>568</v>
      </c>
      <c r="F70" s="6" t="s">
        <v>161</v>
      </c>
      <c r="G70" s="5" t="s">
        <v>137</v>
      </c>
      <c r="H70" s="7" t="n">
        <v>45529</v>
      </c>
      <c r="I70" s="6" t="n">
        <v>2</v>
      </c>
      <c r="J70" s="5" t="s">
        <v>44</v>
      </c>
      <c r="K70" s="5" t="s">
        <v>67</v>
      </c>
      <c r="L70" s="5" t="s">
        <v>46</v>
      </c>
      <c r="M70" s="5" t="s">
        <v>68</v>
      </c>
      <c r="N70" s="5" t="s">
        <v>569</v>
      </c>
      <c r="O70" s="5" t="s">
        <v>328</v>
      </c>
      <c r="P70" s="5"/>
      <c r="Q70" s="6" t="n">
        <v>3</v>
      </c>
      <c r="R70" s="6" t="n">
        <v>32</v>
      </c>
      <c r="S70" s="6" t="n">
        <f aca="false">SUMIFS(Allocations!$G$2:$G$274,Allocations!$B$2:$B$274,A70)</f>
        <v>26</v>
      </c>
      <c r="T70" s="8" t="n">
        <f aca="false">S70/R70</f>
        <v>0.8125</v>
      </c>
      <c r="U70" s="6" t="n">
        <f aca="false">R70-S70</f>
        <v>6</v>
      </c>
      <c r="V70" s="6" t="str">
        <f aca="false">IF(T70&gt;1,"Overloaded",IF(T70&lt;0.5,"Underutilized","Healthy"))</f>
        <v>Healthy</v>
      </c>
      <c r="W70" s="5" t="s">
        <v>570</v>
      </c>
      <c r="X70" s="7"/>
      <c r="Y70" s="7"/>
      <c r="Z70" s="5"/>
    </row>
    <row r="71" customFormat="false" ht="15" hidden="false" customHeight="false" outlineLevel="0" collapsed="false">
      <c r="A71" s="5" t="s">
        <v>571</v>
      </c>
      <c r="B71" s="5" t="s">
        <v>572</v>
      </c>
      <c r="C71" s="5" t="s">
        <v>573</v>
      </c>
      <c r="D71" s="5" t="s">
        <v>40</v>
      </c>
      <c r="E71" s="5" t="s">
        <v>41</v>
      </c>
      <c r="F71" s="6" t="s">
        <v>42</v>
      </c>
      <c r="G71" s="5" t="s">
        <v>43</v>
      </c>
      <c r="H71" s="7" t="n">
        <v>43826</v>
      </c>
      <c r="I71" s="6" t="n">
        <v>7</v>
      </c>
      <c r="J71" s="5" t="s">
        <v>84</v>
      </c>
      <c r="K71" s="5" t="s">
        <v>45</v>
      </c>
      <c r="L71" s="5" t="s">
        <v>46</v>
      </c>
      <c r="M71" s="5" t="s">
        <v>47</v>
      </c>
      <c r="N71" s="5" t="s">
        <v>574</v>
      </c>
      <c r="O71" s="5" t="s">
        <v>575</v>
      </c>
      <c r="P71" s="5"/>
      <c r="Q71" s="6" t="n">
        <v>5</v>
      </c>
      <c r="R71" s="6" t="n">
        <v>40</v>
      </c>
      <c r="S71" s="6" t="n">
        <f aca="false">SUMIFS(Allocations!$G$2:$G$274,Allocations!$B$2:$B$274,A71)</f>
        <v>28</v>
      </c>
      <c r="T71" s="8" t="n">
        <f aca="false">S71/R71</f>
        <v>0.7</v>
      </c>
      <c r="U71" s="6" t="n">
        <f aca="false">R71-S71</f>
        <v>12</v>
      </c>
      <c r="V71" s="6" t="str">
        <f aca="false">IF(T71&gt;1,"Overloaded",IF(T71&lt;0.5,"Underutilized","Healthy"))</f>
        <v>Healthy</v>
      </c>
      <c r="W71" s="5" t="s">
        <v>576</v>
      </c>
      <c r="X71" s="7"/>
      <c r="Y71" s="7"/>
      <c r="Z71" s="5" t="s">
        <v>577</v>
      </c>
    </row>
    <row r="72" customFormat="false" ht="15" hidden="false" customHeight="false" outlineLevel="0" collapsed="false">
      <c r="A72" s="5" t="s">
        <v>578</v>
      </c>
      <c r="B72" s="5" t="s">
        <v>579</v>
      </c>
      <c r="C72" s="5" t="s">
        <v>580</v>
      </c>
      <c r="D72" s="5" t="s">
        <v>63</v>
      </c>
      <c r="E72" s="5" t="s">
        <v>185</v>
      </c>
      <c r="F72" s="6" t="s">
        <v>42</v>
      </c>
      <c r="G72" s="5" t="s">
        <v>65</v>
      </c>
      <c r="H72" s="7" t="n">
        <v>45153</v>
      </c>
      <c r="I72" s="6" t="n">
        <v>7</v>
      </c>
      <c r="J72" s="5" t="s">
        <v>84</v>
      </c>
      <c r="K72" s="5" t="s">
        <v>45</v>
      </c>
      <c r="L72" s="5" t="s">
        <v>46</v>
      </c>
      <c r="M72" s="5" t="s">
        <v>47</v>
      </c>
      <c r="N72" s="5" t="s">
        <v>128</v>
      </c>
      <c r="O72" s="5" t="s">
        <v>581</v>
      </c>
      <c r="P72" s="5"/>
      <c r="Q72" s="6" t="n">
        <v>4</v>
      </c>
      <c r="R72" s="6" t="n">
        <v>40</v>
      </c>
      <c r="S72" s="6" t="n">
        <f aca="false">SUMIFS(Allocations!$G$2:$G$274,Allocations!$B$2:$B$274,A72)</f>
        <v>30</v>
      </c>
      <c r="T72" s="8" t="n">
        <f aca="false">S72/R72</f>
        <v>0.75</v>
      </c>
      <c r="U72" s="6" t="n">
        <f aca="false">R72-S72</f>
        <v>10</v>
      </c>
      <c r="V72" s="6" t="str">
        <f aca="false">IF(T72&gt;1,"Overloaded",IF(T72&lt;0.5,"Underutilized","Healthy"))</f>
        <v>Healthy</v>
      </c>
      <c r="W72" s="5" t="s">
        <v>582</v>
      </c>
      <c r="X72" s="7"/>
      <c r="Y72" s="7"/>
      <c r="Z72" s="5" t="s">
        <v>583</v>
      </c>
    </row>
    <row r="73" customFormat="false" ht="15" hidden="false" customHeight="false" outlineLevel="0" collapsed="false">
      <c r="A73" s="5" t="s">
        <v>584</v>
      </c>
      <c r="B73" s="5" t="s">
        <v>585</v>
      </c>
      <c r="C73" s="5" t="s">
        <v>586</v>
      </c>
      <c r="D73" s="5" t="s">
        <v>135</v>
      </c>
      <c r="E73" s="5" t="s">
        <v>326</v>
      </c>
      <c r="F73" s="6" t="s">
        <v>42</v>
      </c>
      <c r="G73" s="5" t="s">
        <v>137</v>
      </c>
      <c r="H73" s="7" t="n">
        <v>45537</v>
      </c>
      <c r="I73" s="6" t="n">
        <v>5</v>
      </c>
      <c r="J73" s="5" t="s">
        <v>56</v>
      </c>
      <c r="K73" s="5" t="s">
        <v>67</v>
      </c>
      <c r="L73" s="5" t="s">
        <v>46</v>
      </c>
      <c r="M73" s="5" t="s">
        <v>47</v>
      </c>
      <c r="N73" s="5" t="s">
        <v>587</v>
      </c>
      <c r="O73" s="5" t="s">
        <v>409</v>
      </c>
      <c r="P73" s="5" t="s">
        <v>445</v>
      </c>
      <c r="Q73" s="6" t="n">
        <v>4</v>
      </c>
      <c r="R73" s="6" t="n">
        <v>40</v>
      </c>
      <c r="S73" s="6" t="n">
        <f aca="false">SUMIFS(Allocations!$G$2:$G$274,Allocations!$B$2:$B$274,A73)</f>
        <v>16</v>
      </c>
      <c r="T73" s="8" t="n">
        <f aca="false">S73/R73</f>
        <v>0.4</v>
      </c>
      <c r="U73" s="6" t="n">
        <f aca="false">R73-S73</f>
        <v>24</v>
      </c>
      <c r="V73" s="6" t="str">
        <f aca="false">IF(T73&gt;1,"Overloaded",IF(T73&lt;0.5,"Underutilized","Healthy"))</f>
        <v>Underutilized</v>
      </c>
      <c r="W73" s="5" t="s">
        <v>588</v>
      </c>
      <c r="X73" s="7"/>
      <c r="Y73" s="7"/>
      <c r="Z73" s="5" t="s">
        <v>589</v>
      </c>
    </row>
    <row r="74" customFormat="false" ht="15" hidden="false" customHeight="false" outlineLevel="0" collapsed="false">
      <c r="A74" s="5" t="s">
        <v>590</v>
      </c>
      <c r="B74" s="5" t="s">
        <v>591</v>
      </c>
      <c r="C74" s="5" t="s">
        <v>592</v>
      </c>
      <c r="D74" s="5" t="s">
        <v>63</v>
      </c>
      <c r="E74" s="5" t="s">
        <v>83</v>
      </c>
      <c r="F74" s="6" t="s">
        <v>42</v>
      </c>
      <c r="G74" s="5" t="s">
        <v>65</v>
      </c>
      <c r="H74" s="7" t="n">
        <v>45760</v>
      </c>
      <c r="I74" s="6" t="n">
        <v>5</v>
      </c>
      <c r="J74" s="5" t="s">
        <v>113</v>
      </c>
      <c r="K74" s="5" t="s">
        <v>45</v>
      </c>
      <c r="L74" s="5" t="s">
        <v>46</v>
      </c>
      <c r="M74" s="5" t="s">
        <v>68</v>
      </c>
      <c r="N74" s="5" t="s">
        <v>503</v>
      </c>
      <c r="O74" s="5" t="s">
        <v>593</v>
      </c>
      <c r="P74" s="5"/>
      <c r="Q74" s="6" t="n">
        <v>4</v>
      </c>
      <c r="R74" s="6" t="n">
        <v>40</v>
      </c>
      <c r="S74" s="6" t="n">
        <f aca="false">SUMIFS(Allocations!$G$2:$G$274,Allocations!$B$2:$B$274,A74)</f>
        <v>36</v>
      </c>
      <c r="T74" s="8" t="n">
        <f aca="false">S74/R74</f>
        <v>0.9</v>
      </c>
      <c r="U74" s="6" t="n">
        <f aca="false">R74-S74</f>
        <v>4</v>
      </c>
      <c r="V74" s="6" t="str">
        <f aca="false">IF(T74&gt;1,"Overloaded",IF(T74&lt;0.5,"Underutilized","Healthy"))</f>
        <v>Healthy</v>
      </c>
      <c r="W74" s="5" t="s">
        <v>594</v>
      </c>
      <c r="X74" s="7"/>
      <c r="Y74" s="7"/>
      <c r="Z74" s="5" t="s">
        <v>595</v>
      </c>
    </row>
    <row r="75" customFormat="false" ht="15" hidden="false" customHeight="false" outlineLevel="0" collapsed="false">
      <c r="A75" s="5" t="s">
        <v>596</v>
      </c>
      <c r="B75" s="5" t="s">
        <v>597</v>
      </c>
      <c r="C75" s="5" t="s">
        <v>598</v>
      </c>
      <c r="D75" s="5" t="s">
        <v>63</v>
      </c>
      <c r="E75" s="5" t="s">
        <v>185</v>
      </c>
      <c r="F75" s="6" t="s">
        <v>42</v>
      </c>
      <c r="G75" s="5" t="s">
        <v>65</v>
      </c>
      <c r="H75" s="7" t="n">
        <v>43610</v>
      </c>
      <c r="I75" s="6" t="n">
        <v>7</v>
      </c>
      <c r="J75" s="5" t="s">
        <v>84</v>
      </c>
      <c r="K75" s="5" t="s">
        <v>67</v>
      </c>
      <c r="L75" s="5" t="s">
        <v>150</v>
      </c>
      <c r="M75" s="5" t="s">
        <v>57</v>
      </c>
      <c r="N75" s="5" t="s">
        <v>599</v>
      </c>
      <c r="O75" s="5" t="s">
        <v>600</v>
      </c>
      <c r="P75" s="5"/>
      <c r="Q75" s="6" t="n">
        <v>5</v>
      </c>
      <c r="R75" s="6" t="n">
        <v>40</v>
      </c>
      <c r="S75" s="6" t="n">
        <f aca="false">SUMIFS(Allocations!$G$2:$G$274,Allocations!$B$2:$B$274,A75)</f>
        <v>28</v>
      </c>
      <c r="T75" s="8" t="n">
        <f aca="false">S75/R75</f>
        <v>0.7</v>
      </c>
      <c r="U75" s="6" t="n">
        <f aca="false">R75-S75</f>
        <v>12</v>
      </c>
      <c r="V75" s="6" t="str">
        <f aca="false">IF(T75&gt;1,"Overloaded",IF(T75&lt;0.5,"Underutilized","Healthy"))</f>
        <v>Healthy</v>
      </c>
      <c r="W75" s="5" t="s">
        <v>601</v>
      </c>
      <c r="X75" s="7"/>
      <c r="Y75" s="7"/>
      <c r="Z75" s="5" t="s">
        <v>198</v>
      </c>
    </row>
    <row r="76" customFormat="false" ht="15" hidden="false" customHeight="false" outlineLevel="0" collapsed="false">
      <c r="A76" s="5" t="s">
        <v>602</v>
      </c>
      <c r="B76" s="5" t="s">
        <v>603</v>
      </c>
      <c r="C76" s="5" t="s">
        <v>604</v>
      </c>
      <c r="D76" s="5" t="s">
        <v>63</v>
      </c>
      <c r="E76" s="5" t="s">
        <v>83</v>
      </c>
      <c r="F76" s="6" t="s">
        <v>42</v>
      </c>
      <c r="G76" s="5" t="s">
        <v>65</v>
      </c>
      <c r="H76" s="7" t="n">
        <v>45096</v>
      </c>
      <c r="I76" s="6" t="n">
        <v>7</v>
      </c>
      <c r="J76" s="5" t="s">
        <v>84</v>
      </c>
      <c r="K76" s="5" t="s">
        <v>67</v>
      </c>
      <c r="L76" s="5" t="s">
        <v>46</v>
      </c>
      <c r="M76" s="5" t="s">
        <v>68</v>
      </c>
      <c r="N76" s="5" t="s">
        <v>503</v>
      </c>
      <c r="O76" s="5" t="s">
        <v>249</v>
      </c>
      <c r="P76" s="5"/>
      <c r="Q76" s="6" t="n">
        <v>4</v>
      </c>
      <c r="R76" s="6" t="n">
        <v>32</v>
      </c>
      <c r="S76" s="6" t="n">
        <f aca="false">SUMIFS(Allocations!$G$2:$G$274,Allocations!$B$2:$B$274,A76)</f>
        <v>24</v>
      </c>
      <c r="T76" s="8" t="n">
        <f aca="false">S76/R76</f>
        <v>0.75</v>
      </c>
      <c r="U76" s="6" t="n">
        <f aca="false">R76-S76</f>
        <v>8</v>
      </c>
      <c r="V76" s="6" t="str">
        <f aca="false">IF(T76&gt;1,"Overloaded",IF(T76&lt;0.5,"Underutilized","Healthy"))</f>
        <v>Healthy</v>
      </c>
      <c r="W76" s="5" t="s">
        <v>605</v>
      </c>
      <c r="X76" s="7"/>
      <c r="Y76" s="7"/>
      <c r="Z76" s="5" t="s">
        <v>390</v>
      </c>
    </row>
    <row r="77" customFormat="false" ht="15" hidden="false" customHeight="false" outlineLevel="0" collapsed="false">
      <c r="A77" s="5" t="s">
        <v>606</v>
      </c>
      <c r="B77" s="5" t="s">
        <v>607</v>
      </c>
      <c r="C77" s="5" t="s">
        <v>608</v>
      </c>
      <c r="D77" s="5" t="s">
        <v>93</v>
      </c>
      <c r="E77" s="5" t="s">
        <v>472</v>
      </c>
      <c r="F77" s="6" t="s">
        <v>55</v>
      </c>
      <c r="G77" s="5" t="s">
        <v>96</v>
      </c>
      <c r="H77" s="7" t="n">
        <v>44686</v>
      </c>
      <c r="I77" s="6" t="n">
        <v>4</v>
      </c>
      <c r="J77" s="5" t="s">
        <v>84</v>
      </c>
      <c r="K77" s="5" t="s">
        <v>67</v>
      </c>
      <c r="L77" s="5" t="s">
        <v>46</v>
      </c>
      <c r="M77" s="5" t="s">
        <v>47</v>
      </c>
      <c r="N77" s="5" t="s">
        <v>473</v>
      </c>
      <c r="O77" s="5" t="s">
        <v>474</v>
      </c>
      <c r="P77" s="5"/>
      <c r="Q77" s="6" t="n">
        <v>3</v>
      </c>
      <c r="R77" s="6" t="n">
        <v>40</v>
      </c>
      <c r="S77" s="6" t="n">
        <f aca="false">SUMIFS(Allocations!$G$2:$G$274,Allocations!$B$2:$B$274,A77)</f>
        <v>34</v>
      </c>
      <c r="T77" s="8" t="n">
        <f aca="false">S77/R77</f>
        <v>0.85</v>
      </c>
      <c r="U77" s="6" t="n">
        <f aca="false">R77-S77</f>
        <v>6</v>
      </c>
      <c r="V77" s="6" t="str">
        <f aca="false">IF(T77&gt;1,"Overloaded",IF(T77&lt;0.5,"Underutilized","Healthy"))</f>
        <v>Healthy</v>
      </c>
      <c r="W77" s="5" t="s">
        <v>609</v>
      </c>
      <c r="X77" s="7"/>
      <c r="Y77" s="7"/>
      <c r="Z77" s="5" t="s">
        <v>610</v>
      </c>
    </row>
    <row r="78" customFormat="false" ht="15" hidden="false" customHeight="false" outlineLevel="0" collapsed="false">
      <c r="A78" s="5" t="s">
        <v>611</v>
      </c>
      <c r="B78" s="5" t="s">
        <v>612</v>
      </c>
      <c r="C78" s="5" t="s">
        <v>613</v>
      </c>
      <c r="D78" s="5" t="s">
        <v>93</v>
      </c>
      <c r="E78" s="5" t="s">
        <v>554</v>
      </c>
      <c r="F78" s="6" t="s">
        <v>120</v>
      </c>
      <c r="G78" s="5" t="s">
        <v>96</v>
      </c>
      <c r="H78" s="7" t="n">
        <v>45419</v>
      </c>
      <c r="I78" s="6" t="n">
        <v>12</v>
      </c>
      <c r="J78" s="5" t="s">
        <v>113</v>
      </c>
      <c r="K78" s="5" t="s">
        <v>67</v>
      </c>
      <c r="L78" s="5" t="s">
        <v>150</v>
      </c>
      <c r="M78" s="5" t="s">
        <v>68</v>
      </c>
      <c r="N78" s="5" t="s">
        <v>614</v>
      </c>
      <c r="O78" s="5" t="s">
        <v>615</v>
      </c>
      <c r="P78" s="5" t="s">
        <v>616</v>
      </c>
      <c r="Q78" s="6" t="n">
        <v>3</v>
      </c>
      <c r="R78" s="6" t="n">
        <v>40</v>
      </c>
      <c r="S78" s="6" t="n">
        <f aca="false">SUMIFS(Allocations!$G$2:$G$274,Allocations!$B$2:$B$274,A78)</f>
        <v>24</v>
      </c>
      <c r="T78" s="8" t="n">
        <f aca="false">S78/R78</f>
        <v>0.6</v>
      </c>
      <c r="U78" s="6" t="n">
        <f aca="false">R78-S78</f>
        <v>16</v>
      </c>
      <c r="V78" s="6" t="str">
        <f aca="false">IF(T78&gt;1,"Overloaded",IF(T78&lt;0.5,"Underutilized","Healthy"))</f>
        <v>Healthy</v>
      </c>
      <c r="W78" s="5" t="s">
        <v>617</v>
      </c>
      <c r="X78" s="7"/>
      <c r="Y78" s="7"/>
      <c r="Z78" s="5" t="s">
        <v>618</v>
      </c>
    </row>
    <row r="79" customFormat="false" ht="15" hidden="false" customHeight="false" outlineLevel="0" collapsed="false">
      <c r="A79" s="5" t="s">
        <v>619</v>
      </c>
      <c r="B79" s="5" t="s">
        <v>620</v>
      </c>
      <c r="C79" s="5" t="s">
        <v>621</v>
      </c>
      <c r="D79" s="5" t="s">
        <v>63</v>
      </c>
      <c r="E79" s="5" t="s">
        <v>105</v>
      </c>
      <c r="F79" s="6" t="s">
        <v>55</v>
      </c>
      <c r="G79" s="5" t="s">
        <v>65</v>
      </c>
      <c r="H79" s="7" t="n">
        <v>45026</v>
      </c>
      <c r="I79" s="6" t="n">
        <v>3</v>
      </c>
      <c r="J79" s="5" t="s">
        <v>56</v>
      </c>
      <c r="K79" s="5" t="s">
        <v>149</v>
      </c>
      <c r="L79" s="5" t="s">
        <v>46</v>
      </c>
      <c r="M79" s="5" t="s">
        <v>151</v>
      </c>
      <c r="N79" s="5" t="s">
        <v>622</v>
      </c>
      <c r="O79" s="5" t="s">
        <v>623</v>
      </c>
      <c r="P79" s="5"/>
      <c r="Q79" s="6" t="n">
        <v>3</v>
      </c>
      <c r="R79" s="6" t="n">
        <v>40</v>
      </c>
      <c r="S79" s="6" t="n">
        <f aca="false">SUMIFS(Allocations!$G$2:$G$274,Allocations!$B$2:$B$274,A79)</f>
        <v>32</v>
      </c>
      <c r="T79" s="8" t="n">
        <f aca="false">S79/R79</f>
        <v>0.8</v>
      </c>
      <c r="U79" s="6" t="n">
        <f aca="false">R79-S79</f>
        <v>8</v>
      </c>
      <c r="V79" s="6" t="str">
        <f aca="false">IF(T79&gt;1,"Overloaded",IF(T79&lt;0.5,"Underutilized","Healthy"))</f>
        <v>Healthy</v>
      </c>
      <c r="W79" s="5" t="s">
        <v>624</v>
      </c>
      <c r="X79" s="7"/>
      <c r="Y79" s="7"/>
      <c r="Z79" s="5" t="s">
        <v>625</v>
      </c>
    </row>
    <row r="80" customFormat="false" ht="15" hidden="false" customHeight="false" outlineLevel="0" collapsed="false">
      <c r="A80" s="5" t="s">
        <v>626</v>
      </c>
      <c r="B80" s="5" t="s">
        <v>627</v>
      </c>
      <c r="C80" s="5" t="s">
        <v>628</v>
      </c>
      <c r="D80" s="5" t="s">
        <v>135</v>
      </c>
      <c r="E80" s="5" t="s">
        <v>480</v>
      </c>
      <c r="F80" s="6" t="s">
        <v>55</v>
      </c>
      <c r="G80" s="5" t="s">
        <v>137</v>
      </c>
      <c r="H80" s="7" t="n">
        <v>45561</v>
      </c>
      <c r="I80" s="6" t="n">
        <v>3</v>
      </c>
      <c r="J80" s="5" t="s">
        <v>44</v>
      </c>
      <c r="K80" s="5" t="s">
        <v>45</v>
      </c>
      <c r="L80" s="5" t="s">
        <v>46</v>
      </c>
      <c r="M80" s="5" t="s">
        <v>76</v>
      </c>
      <c r="N80" s="5" t="s">
        <v>629</v>
      </c>
      <c r="O80" s="5" t="s">
        <v>630</v>
      </c>
      <c r="P80" s="5" t="s">
        <v>631</v>
      </c>
      <c r="Q80" s="6" t="n">
        <v>2</v>
      </c>
      <c r="R80" s="6" t="n">
        <v>40</v>
      </c>
      <c r="S80" s="6" t="n">
        <f aca="false">SUMIFS(Allocations!$G$2:$G$274,Allocations!$B$2:$B$274,A80)</f>
        <v>12</v>
      </c>
      <c r="T80" s="8" t="n">
        <f aca="false">S80/R80</f>
        <v>0.3</v>
      </c>
      <c r="U80" s="6" t="n">
        <f aca="false">R80-S80</f>
        <v>28</v>
      </c>
      <c r="V80" s="6" t="str">
        <f aca="false">IF(T80&gt;1,"Overloaded",IF(T80&lt;0.5,"Underutilized","Healthy"))</f>
        <v>Underutilized</v>
      </c>
      <c r="W80" s="5" t="s">
        <v>632</v>
      </c>
      <c r="X80" s="7"/>
      <c r="Y80" s="7"/>
      <c r="Z80" s="5" t="s">
        <v>633</v>
      </c>
    </row>
    <row r="81" customFormat="false" ht="15" hidden="false" customHeight="false" outlineLevel="0" collapsed="false">
      <c r="A81" s="5" t="s">
        <v>634</v>
      </c>
      <c r="B81" s="5" t="s">
        <v>204</v>
      </c>
      <c r="C81" s="5" t="s">
        <v>635</v>
      </c>
      <c r="D81" s="5" t="s">
        <v>202</v>
      </c>
      <c r="E81" s="5" t="s">
        <v>636</v>
      </c>
      <c r="F81" s="6" t="s">
        <v>120</v>
      </c>
      <c r="G81" s="5" t="s">
        <v>121</v>
      </c>
      <c r="H81" s="7" t="n">
        <v>45704</v>
      </c>
      <c r="I81" s="6" t="n">
        <v>14</v>
      </c>
      <c r="J81" s="5" t="s">
        <v>84</v>
      </c>
      <c r="K81" s="5" t="s">
        <v>67</v>
      </c>
      <c r="L81" s="5" t="s">
        <v>46</v>
      </c>
      <c r="M81" s="5" t="s">
        <v>85</v>
      </c>
      <c r="N81" s="5" t="s">
        <v>205</v>
      </c>
      <c r="O81" s="5"/>
      <c r="P81" s="5"/>
      <c r="Q81" s="6" t="n">
        <v>3</v>
      </c>
      <c r="R81" s="6" t="n">
        <v>40</v>
      </c>
      <c r="S81" s="6" t="n">
        <f aca="false">SUMIFS(Allocations!$G$2:$G$274,Allocations!$B$2:$B$274,A81)</f>
        <v>36</v>
      </c>
      <c r="T81" s="8" t="n">
        <f aca="false">S81/R81</f>
        <v>0.9</v>
      </c>
      <c r="U81" s="6" t="n">
        <f aca="false">R81-S81</f>
        <v>4</v>
      </c>
      <c r="V81" s="6" t="str">
        <f aca="false">IF(T81&gt;1,"Overloaded",IF(T81&lt;0.5,"Underutilized","Healthy"))</f>
        <v>Healthy</v>
      </c>
      <c r="W81" s="5" t="s">
        <v>336</v>
      </c>
      <c r="X81" s="7"/>
      <c r="Y81" s="7"/>
      <c r="Z81" s="5" t="s">
        <v>637</v>
      </c>
    </row>
    <row r="82" customFormat="false" ht="15" hidden="false" customHeight="false" outlineLevel="0" collapsed="false">
      <c r="A82" s="5" t="s">
        <v>638</v>
      </c>
      <c r="B82" s="5" t="s">
        <v>639</v>
      </c>
      <c r="C82" s="5" t="s">
        <v>640</v>
      </c>
      <c r="D82" s="5" t="s">
        <v>93</v>
      </c>
      <c r="E82" s="5" t="s">
        <v>641</v>
      </c>
      <c r="F82" s="6" t="s">
        <v>120</v>
      </c>
      <c r="G82" s="5" t="s">
        <v>96</v>
      </c>
      <c r="H82" s="7" t="n">
        <v>42834</v>
      </c>
      <c r="I82" s="6" t="n">
        <v>12</v>
      </c>
      <c r="J82" s="5" t="s">
        <v>44</v>
      </c>
      <c r="K82" s="5" t="s">
        <v>45</v>
      </c>
      <c r="L82" s="5" t="s">
        <v>46</v>
      </c>
      <c r="M82" s="5" t="s">
        <v>68</v>
      </c>
      <c r="N82" s="5" t="s">
        <v>642</v>
      </c>
      <c r="O82" s="5" t="s">
        <v>643</v>
      </c>
      <c r="P82" s="5" t="s">
        <v>644</v>
      </c>
      <c r="Q82" s="6" t="n">
        <v>3</v>
      </c>
      <c r="R82" s="6" t="n">
        <v>40</v>
      </c>
      <c r="S82" s="6" t="n">
        <f aca="false">SUMIFS(Allocations!$G$2:$G$274,Allocations!$B$2:$B$274,A82)</f>
        <v>30</v>
      </c>
      <c r="T82" s="8" t="n">
        <f aca="false">S82/R82</f>
        <v>0.75</v>
      </c>
      <c r="U82" s="6" t="n">
        <f aca="false">R82-S82</f>
        <v>10</v>
      </c>
      <c r="V82" s="6" t="str">
        <f aca="false">IF(T82&gt;1,"Overloaded",IF(T82&lt;0.5,"Underutilized","Healthy"))</f>
        <v>Healthy</v>
      </c>
      <c r="W82" s="5" t="s">
        <v>645</v>
      </c>
      <c r="X82" s="7"/>
      <c r="Y82" s="7"/>
      <c r="Z82" s="5"/>
    </row>
    <row r="83" customFormat="false" ht="15" hidden="false" customHeight="false" outlineLevel="0" collapsed="false">
      <c r="A83" s="5" t="s">
        <v>646</v>
      </c>
      <c r="B83" s="5" t="s">
        <v>647</v>
      </c>
      <c r="C83" s="5" t="s">
        <v>648</v>
      </c>
      <c r="D83" s="5" t="s">
        <v>40</v>
      </c>
      <c r="E83" s="5" t="s">
        <v>649</v>
      </c>
      <c r="F83" s="6" t="s">
        <v>161</v>
      </c>
      <c r="G83" s="5" t="s">
        <v>43</v>
      </c>
      <c r="H83" s="7" t="n">
        <v>45506</v>
      </c>
      <c r="I83" s="6" t="n">
        <v>2</v>
      </c>
      <c r="J83" s="5" t="s">
        <v>113</v>
      </c>
      <c r="K83" s="5" t="s">
        <v>67</v>
      </c>
      <c r="L83" s="5" t="s">
        <v>46</v>
      </c>
      <c r="M83" s="5" t="s">
        <v>169</v>
      </c>
      <c r="N83" s="5" t="s">
        <v>650</v>
      </c>
      <c r="O83" s="5" t="s">
        <v>575</v>
      </c>
      <c r="P83" s="5"/>
      <c r="Q83" s="6" t="n">
        <v>4</v>
      </c>
      <c r="R83" s="6" t="n">
        <v>40</v>
      </c>
      <c r="S83" s="6" t="n">
        <f aca="false">SUMIFS(Allocations!$G$2:$G$274,Allocations!$B$2:$B$274,A83)</f>
        <v>34</v>
      </c>
      <c r="T83" s="8" t="n">
        <f aca="false">S83/R83</f>
        <v>0.85</v>
      </c>
      <c r="U83" s="6" t="n">
        <f aca="false">R83-S83</f>
        <v>6</v>
      </c>
      <c r="V83" s="6" t="str">
        <f aca="false">IF(T83&gt;1,"Overloaded",IF(T83&lt;0.5,"Underutilized","Healthy"))</f>
        <v>Healthy</v>
      </c>
      <c r="W83" s="5" t="s">
        <v>651</v>
      </c>
      <c r="X83" s="7"/>
      <c r="Y83" s="7"/>
      <c r="Z83" s="5"/>
    </row>
    <row r="84" customFormat="false" ht="15" hidden="false" customHeight="false" outlineLevel="0" collapsed="false">
      <c r="A84" s="5" t="s">
        <v>652</v>
      </c>
      <c r="B84" s="5" t="s">
        <v>653</v>
      </c>
      <c r="C84" s="5" t="s">
        <v>654</v>
      </c>
      <c r="D84" s="5" t="s">
        <v>311</v>
      </c>
      <c r="E84" s="5" t="s">
        <v>655</v>
      </c>
      <c r="F84" s="6" t="s">
        <v>161</v>
      </c>
      <c r="G84" s="5" t="s">
        <v>309</v>
      </c>
      <c r="H84" s="7" t="n">
        <v>45867</v>
      </c>
      <c r="I84" s="6" t="n">
        <v>1</v>
      </c>
      <c r="J84" s="5" t="s">
        <v>44</v>
      </c>
      <c r="K84" s="5" t="s">
        <v>67</v>
      </c>
      <c r="L84" s="5" t="s">
        <v>46</v>
      </c>
      <c r="M84" s="5" t="s">
        <v>68</v>
      </c>
      <c r="N84" s="5" t="s">
        <v>656</v>
      </c>
      <c r="O84" s="5"/>
      <c r="P84" s="5" t="s">
        <v>631</v>
      </c>
      <c r="Q84" s="6" t="n">
        <v>3</v>
      </c>
      <c r="R84" s="6" t="n">
        <v>40</v>
      </c>
      <c r="S84" s="6" t="n">
        <f aca="false">SUMIFS(Allocations!$G$2:$G$274,Allocations!$B$2:$B$274,A84)</f>
        <v>36</v>
      </c>
      <c r="T84" s="8" t="n">
        <f aca="false">S84/R84</f>
        <v>0.9</v>
      </c>
      <c r="U84" s="6" t="n">
        <f aca="false">R84-S84</f>
        <v>4</v>
      </c>
      <c r="V84" s="6" t="str">
        <f aca="false">IF(T84&gt;1,"Overloaded",IF(T84&lt;0.5,"Underutilized","Healthy"))</f>
        <v>Healthy</v>
      </c>
      <c r="W84" s="5" t="s">
        <v>657</v>
      </c>
      <c r="X84" s="7"/>
      <c r="Y84" s="7"/>
      <c r="Z84" s="5" t="s">
        <v>658</v>
      </c>
    </row>
    <row r="85" customFormat="false" ht="15" hidden="false" customHeight="false" outlineLevel="0" collapsed="false">
      <c r="A85" s="5" t="s">
        <v>659</v>
      </c>
      <c r="B85" s="5" t="s">
        <v>660</v>
      </c>
      <c r="C85" s="5" t="s">
        <v>661</v>
      </c>
      <c r="D85" s="5" t="s">
        <v>202</v>
      </c>
      <c r="E85" s="5" t="s">
        <v>662</v>
      </c>
      <c r="F85" s="6" t="s">
        <v>161</v>
      </c>
      <c r="G85" s="5" t="s">
        <v>204</v>
      </c>
      <c r="H85" s="7" t="n">
        <v>45572</v>
      </c>
      <c r="I85" s="6" t="n">
        <v>2</v>
      </c>
      <c r="J85" s="5" t="s">
        <v>84</v>
      </c>
      <c r="K85" s="5" t="s">
        <v>67</v>
      </c>
      <c r="L85" s="5" t="s">
        <v>46</v>
      </c>
      <c r="M85" s="5" t="s">
        <v>57</v>
      </c>
      <c r="N85" s="5" t="s">
        <v>663</v>
      </c>
      <c r="O85" s="5"/>
      <c r="P85" s="5"/>
      <c r="Q85" s="6" t="n">
        <v>5</v>
      </c>
      <c r="R85" s="6" t="n">
        <v>40</v>
      </c>
      <c r="S85" s="6" t="n">
        <f aca="false">SUMIFS(Allocations!$G$2:$G$274,Allocations!$B$2:$B$274,A85)</f>
        <v>24</v>
      </c>
      <c r="T85" s="8" t="n">
        <f aca="false">S85/R85</f>
        <v>0.6</v>
      </c>
      <c r="U85" s="6" t="n">
        <f aca="false">R85-S85</f>
        <v>16</v>
      </c>
      <c r="V85" s="6" t="str">
        <f aca="false">IF(T85&gt;1,"Overloaded",IF(T85&lt;0.5,"Underutilized","Healthy"))</f>
        <v>Healthy</v>
      </c>
      <c r="W85" s="5" t="s">
        <v>664</v>
      </c>
      <c r="X85" s="7"/>
      <c r="Y85" s="7"/>
      <c r="Z85" s="5" t="s">
        <v>131</v>
      </c>
    </row>
    <row r="86" customFormat="false" ht="15" hidden="false" customHeight="false" outlineLevel="0" collapsed="false">
      <c r="A86" s="5" t="s">
        <v>665</v>
      </c>
      <c r="B86" s="5" t="s">
        <v>666</v>
      </c>
      <c r="C86" s="5" t="s">
        <v>667</v>
      </c>
      <c r="D86" s="5" t="s">
        <v>135</v>
      </c>
      <c r="E86" s="5" t="s">
        <v>442</v>
      </c>
      <c r="F86" s="6" t="s">
        <v>161</v>
      </c>
      <c r="G86" s="5" t="s">
        <v>137</v>
      </c>
      <c r="H86" s="7" t="n">
        <v>45828</v>
      </c>
      <c r="I86" s="6" t="n">
        <v>1</v>
      </c>
      <c r="J86" s="5" t="s">
        <v>84</v>
      </c>
      <c r="K86" s="5" t="s">
        <v>67</v>
      </c>
      <c r="L86" s="5" t="s">
        <v>46</v>
      </c>
      <c r="M86" s="5" t="s">
        <v>47</v>
      </c>
      <c r="N86" s="5" t="s">
        <v>668</v>
      </c>
      <c r="O86" s="5" t="s">
        <v>669</v>
      </c>
      <c r="P86" s="5" t="s">
        <v>154</v>
      </c>
      <c r="Q86" s="6" t="n">
        <v>4</v>
      </c>
      <c r="R86" s="6" t="n">
        <v>40</v>
      </c>
      <c r="S86" s="6" t="n">
        <f aca="false">SUMIFS(Allocations!$G$2:$G$274,Allocations!$B$2:$B$274,A86)</f>
        <v>28</v>
      </c>
      <c r="T86" s="8" t="n">
        <f aca="false">S86/R86</f>
        <v>0.7</v>
      </c>
      <c r="U86" s="6" t="n">
        <f aca="false">R86-S86</f>
        <v>12</v>
      </c>
      <c r="V86" s="6" t="str">
        <f aca="false">IF(T86&gt;1,"Overloaded",IF(T86&lt;0.5,"Underutilized","Healthy"))</f>
        <v>Healthy</v>
      </c>
      <c r="W86" s="5" t="s">
        <v>670</v>
      </c>
      <c r="X86" s="7"/>
      <c r="Y86" s="7"/>
      <c r="Z86" s="5" t="s">
        <v>671</v>
      </c>
    </row>
    <row r="87" customFormat="false" ht="15" hidden="false" customHeight="false" outlineLevel="0" collapsed="false">
      <c r="A87" s="5" t="s">
        <v>672</v>
      </c>
      <c r="B87" s="5" t="s">
        <v>673</v>
      </c>
      <c r="C87" s="5" t="s">
        <v>674</v>
      </c>
      <c r="D87" s="5" t="s">
        <v>63</v>
      </c>
      <c r="E87" s="5" t="s">
        <v>105</v>
      </c>
      <c r="F87" s="6" t="s">
        <v>55</v>
      </c>
      <c r="G87" s="5" t="s">
        <v>65</v>
      </c>
      <c r="H87" s="7" t="n">
        <v>45444</v>
      </c>
      <c r="I87" s="6" t="n">
        <v>3</v>
      </c>
      <c r="J87" s="5" t="s">
        <v>56</v>
      </c>
      <c r="K87" s="5" t="s">
        <v>67</v>
      </c>
      <c r="L87" s="5" t="s">
        <v>46</v>
      </c>
      <c r="M87" s="5" t="s">
        <v>68</v>
      </c>
      <c r="N87" s="5" t="s">
        <v>675</v>
      </c>
      <c r="O87" s="5" t="s">
        <v>676</v>
      </c>
      <c r="P87" s="5" t="s">
        <v>214</v>
      </c>
      <c r="Q87" s="6" t="n">
        <v>3</v>
      </c>
      <c r="R87" s="6" t="n">
        <v>40</v>
      </c>
      <c r="S87" s="6" t="n">
        <f aca="false">SUMIFS(Allocations!$G$2:$G$274,Allocations!$B$2:$B$274,A87)</f>
        <v>26</v>
      </c>
      <c r="T87" s="8" t="n">
        <f aca="false">S87/R87</f>
        <v>0.65</v>
      </c>
      <c r="U87" s="6" t="n">
        <f aca="false">R87-S87</f>
        <v>14</v>
      </c>
      <c r="V87" s="6" t="str">
        <f aca="false">IF(T87&gt;1,"Overloaded",IF(T87&lt;0.5,"Underutilized","Healthy"))</f>
        <v>Healthy</v>
      </c>
      <c r="W87" s="5" t="s">
        <v>677</v>
      </c>
      <c r="X87" s="7"/>
      <c r="Y87" s="7"/>
      <c r="Z87" s="5" t="s">
        <v>678</v>
      </c>
    </row>
    <row r="88" customFormat="false" ht="15" hidden="false" customHeight="false" outlineLevel="0" collapsed="false">
      <c r="A88" s="5" t="s">
        <v>679</v>
      </c>
      <c r="B88" s="5" t="s">
        <v>680</v>
      </c>
      <c r="C88" s="5" t="s">
        <v>681</v>
      </c>
      <c r="D88" s="5" t="s">
        <v>146</v>
      </c>
      <c r="E88" s="5" t="s">
        <v>682</v>
      </c>
      <c r="F88" s="6" t="s">
        <v>55</v>
      </c>
      <c r="G88" s="5" t="s">
        <v>148</v>
      </c>
      <c r="H88" s="7" t="n">
        <v>46161</v>
      </c>
      <c r="I88" s="6" t="n">
        <v>3</v>
      </c>
      <c r="J88" s="5" t="s">
        <v>113</v>
      </c>
      <c r="K88" s="5" t="s">
        <v>67</v>
      </c>
      <c r="L88" s="5" t="s">
        <v>46</v>
      </c>
      <c r="M88" s="5" t="s">
        <v>151</v>
      </c>
      <c r="N88" s="5" t="s">
        <v>683</v>
      </c>
      <c r="O88" s="5" t="s">
        <v>684</v>
      </c>
      <c r="P88" s="5"/>
      <c r="Q88" s="6" t="n">
        <v>3</v>
      </c>
      <c r="R88" s="6" t="n">
        <v>40</v>
      </c>
      <c r="S88" s="6" t="n">
        <f aca="false">SUMIFS(Allocations!$G$2:$G$274,Allocations!$B$2:$B$274,A88)</f>
        <v>30</v>
      </c>
      <c r="T88" s="8" t="n">
        <f aca="false">S88/R88</f>
        <v>0.75</v>
      </c>
      <c r="U88" s="6" t="n">
        <f aca="false">R88-S88</f>
        <v>10</v>
      </c>
      <c r="V88" s="6" t="str">
        <f aca="false">IF(T88&gt;1,"Overloaded",IF(T88&lt;0.5,"Underutilized","Healthy"))</f>
        <v>Healthy</v>
      </c>
      <c r="W88" s="5" t="s">
        <v>685</v>
      </c>
      <c r="X88" s="7"/>
      <c r="Y88" s="7"/>
      <c r="Z88" s="5" t="s">
        <v>492</v>
      </c>
    </row>
    <row r="89" customFormat="false" ht="15" hidden="false" customHeight="false" outlineLevel="0" collapsed="false">
      <c r="A89" s="5" t="s">
        <v>686</v>
      </c>
      <c r="B89" s="5" t="s">
        <v>687</v>
      </c>
      <c r="C89" s="5" t="s">
        <v>688</v>
      </c>
      <c r="D89" s="5" t="s">
        <v>135</v>
      </c>
      <c r="E89" s="5" t="s">
        <v>689</v>
      </c>
      <c r="F89" s="6" t="s">
        <v>120</v>
      </c>
      <c r="G89" s="5" t="s">
        <v>137</v>
      </c>
      <c r="H89" s="7" t="n">
        <v>46301</v>
      </c>
      <c r="I89" s="6" t="n">
        <v>12</v>
      </c>
      <c r="J89" s="5" t="s">
        <v>84</v>
      </c>
      <c r="K89" s="5" t="s">
        <v>67</v>
      </c>
      <c r="L89" s="5" t="s">
        <v>46</v>
      </c>
      <c r="M89" s="5" t="s">
        <v>68</v>
      </c>
      <c r="N89" s="5" t="s">
        <v>690</v>
      </c>
      <c r="O89" s="5" t="s">
        <v>328</v>
      </c>
      <c r="P89" s="5" t="s">
        <v>691</v>
      </c>
      <c r="Q89" s="6" t="n">
        <v>3</v>
      </c>
      <c r="R89" s="6" t="n">
        <v>40</v>
      </c>
      <c r="S89" s="6" t="n">
        <f aca="false">SUMIFS(Allocations!$G$2:$G$274,Allocations!$B$2:$B$274,A89)</f>
        <v>30</v>
      </c>
      <c r="T89" s="8" t="n">
        <f aca="false">S89/R89</f>
        <v>0.75</v>
      </c>
      <c r="U89" s="6" t="n">
        <f aca="false">R89-S89</f>
        <v>10</v>
      </c>
      <c r="V89" s="6" t="str">
        <f aca="false">IF(T89&gt;1,"Overloaded",IF(T89&lt;0.5,"Underutilized","Healthy"))</f>
        <v>Healthy</v>
      </c>
      <c r="W89" s="5" t="s">
        <v>692</v>
      </c>
      <c r="X89" s="7"/>
      <c r="Y89" s="7"/>
      <c r="Z89" s="5" t="s">
        <v>693</v>
      </c>
    </row>
    <row r="90" customFormat="false" ht="15" hidden="false" customHeight="false" outlineLevel="0" collapsed="false">
      <c r="A90" s="5" t="s">
        <v>694</v>
      </c>
      <c r="B90" s="5" t="s">
        <v>695</v>
      </c>
      <c r="C90" s="5" t="s">
        <v>696</v>
      </c>
      <c r="D90" s="5" t="s">
        <v>63</v>
      </c>
      <c r="E90" s="5" t="s">
        <v>366</v>
      </c>
      <c r="F90" s="6" t="s">
        <v>95</v>
      </c>
      <c r="G90" s="5" t="s">
        <v>65</v>
      </c>
      <c r="H90" s="7" t="n">
        <v>45287</v>
      </c>
      <c r="I90" s="6" t="n">
        <v>8</v>
      </c>
      <c r="J90" s="5" t="s">
        <v>113</v>
      </c>
      <c r="K90" s="5" t="s">
        <v>45</v>
      </c>
      <c r="L90" s="5" t="s">
        <v>46</v>
      </c>
      <c r="M90" s="5" t="s">
        <v>151</v>
      </c>
      <c r="N90" s="5" t="s">
        <v>697</v>
      </c>
      <c r="O90" s="5" t="s">
        <v>187</v>
      </c>
      <c r="P90" s="5" t="s">
        <v>352</v>
      </c>
      <c r="Q90" s="6" t="n">
        <v>4</v>
      </c>
      <c r="R90" s="6" t="n">
        <v>40</v>
      </c>
      <c r="S90" s="6" t="n">
        <f aca="false">SUMIFS(Allocations!$G$2:$G$274,Allocations!$B$2:$B$274,A90)</f>
        <v>26</v>
      </c>
      <c r="T90" s="8" t="n">
        <f aca="false">S90/R90</f>
        <v>0.65</v>
      </c>
      <c r="U90" s="6" t="n">
        <f aca="false">R90-S90</f>
        <v>14</v>
      </c>
      <c r="V90" s="6" t="str">
        <f aca="false">IF(T90&gt;1,"Overloaded",IF(T90&lt;0.5,"Underutilized","Healthy"))</f>
        <v>Healthy</v>
      </c>
      <c r="W90" s="5" t="s">
        <v>698</v>
      </c>
      <c r="X90" s="7" t="n">
        <v>46330</v>
      </c>
      <c r="Y90" s="7" t="n">
        <v>46334</v>
      </c>
      <c r="Z90" s="5" t="s">
        <v>577</v>
      </c>
    </row>
    <row r="91" customFormat="false" ht="15" hidden="false" customHeight="false" outlineLevel="0" collapsed="false">
      <c r="A91" s="5" t="s">
        <v>699</v>
      </c>
      <c r="B91" s="5" t="s">
        <v>700</v>
      </c>
      <c r="C91" s="5" t="s">
        <v>701</v>
      </c>
      <c r="D91" s="5" t="s">
        <v>63</v>
      </c>
      <c r="E91" s="5" t="s">
        <v>414</v>
      </c>
      <c r="F91" s="6" t="s">
        <v>161</v>
      </c>
      <c r="G91" s="5" t="s">
        <v>65</v>
      </c>
      <c r="H91" s="7" t="n">
        <v>45453</v>
      </c>
      <c r="I91" s="6" t="n">
        <v>2</v>
      </c>
      <c r="J91" s="5" t="s">
        <v>84</v>
      </c>
      <c r="K91" s="5" t="s">
        <v>67</v>
      </c>
      <c r="L91" s="5" t="s">
        <v>46</v>
      </c>
      <c r="M91" s="5" t="s">
        <v>151</v>
      </c>
      <c r="N91" s="5" t="s">
        <v>702</v>
      </c>
      <c r="O91" s="5" t="s">
        <v>703</v>
      </c>
      <c r="P91" s="5" t="s">
        <v>430</v>
      </c>
      <c r="Q91" s="6" t="n">
        <v>3</v>
      </c>
      <c r="R91" s="6" t="n">
        <v>40</v>
      </c>
      <c r="S91" s="6" t="n">
        <f aca="false">SUMIFS(Allocations!$G$2:$G$274,Allocations!$B$2:$B$274,A91)</f>
        <v>24</v>
      </c>
      <c r="T91" s="8" t="n">
        <f aca="false">S91/R91</f>
        <v>0.6</v>
      </c>
      <c r="U91" s="6" t="n">
        <f aca="false">R91-S91</f>
        <v>16</v>
      </c>
      <c r="V91" s="6" t="str">
        <f aca="false">IF(T91&gt;1,"Overloaded",IF(T91&lt;0.5,"Underutilized","Healthy"))</f>
        <v>Healthy</v>
      </c>
      <c r="W91" s="5" t="s">
        <v>704</v>
      </c>
      <c r="X91" s="7"/>
      <c r="Y91" s="7"/>
      <c r="Z91" s="5" t="s">
        <v>705</v>
      </c>
    </row>
    <row r="92" customFormat="false" ht="15" hidden="false" customHeight="false" outlineLevel="0" collapsed="false">
      <c r="A92" s="5" t="s">
        <v>706</v>
      </c>
      <c r="B92" s="5" t="s">
        <v>707</v>
      </c>
      <c r="C92" s="5" t="s">
        <v>708</v>
      </c>
      <c r="D92" s="5" t="s">
        <v>40</v>
      </c>
      <c r="E92" s="5" t="s">
        <v>649</v>
      </c>
      <c r="F92" s="6" t="s">
        <v>161</v>
      </c>
      <c r="G92" s="5" t="s">
        <v>43</v>
      </c>
      <c r="H92" s="7" t="n">
        <v>45444</v>
      </c>
      <c r="I92" s="6" t="n">
        <v>2</v>
      </c>
      <c r="J92" s="5" t="s">
        <v>56</v>
      </c>
      <c r="K92" s="5" t="s">
        <v>45</v>
      </c>
      <c r="L92" s="5" t="s">
        <v>46</v>
      </c>
      <c r="M92" s="5" t="s">
        <v>151</v>
      </c>
      <c r="N92" s="5" t="s">
        <v>709</v>
      </c>
      <c r="O92" s="5" t="s">
        <v>575</v>
      </c>
      <c r="P92" s="5"/>
      <c r="Q92" s="6" t="n">
        <v>3</v>
      </c>
      <c r="R92" s="6" t="n">
        <v>40</v>
      </c>
      <c r="S92" s="6" t="n">
        <f aca="false">SUMIFS(Allocations!$G$2:$G$274,Allocations!$B$2:$B$274,A92)</f>
        <v>24</v>
      </c>
      <c r="T92" s="8" t="n">
        <f aca="false">S92/R92</f>
        <v>0.6</v>
      </c>
      <c r="U92" s="6" t="n">
        <f aca="false">R92-S92</f>
        <v>16</v>
      </c>
      <c r="V92" s="6" t="str">
        <f aca="false">IF(T92&gt;1,"Overloaded",IF(T92&lt;0.5,"Underutilized","Healthy"))</f>
        <v>Healthy</v>
      </c>
      <c r="W92" s="5" t="s">
        <v>710</v>
      </c>
      <c r="X92" s="7"/>
      <c r="Y92" s="7"/>
      <c r="Z92" s="5" t="s">
        <v>362</v>
      </c>
    </row>
    <row r="93" customFormat="false" ht="15" hidden="false" customHeight="false" outlineLevel="0" collapsed="false">
      <c r="A93" s="5" t="s">
        <v>711</v>
      </c>
      <c r="B93" s="5" t="s">
        <v>712</v>
      </c>
      <c r="C93" s="5" t="s">
        <v>713</v>
      </c>
      <c r="D93" s="5" t="s">
        <v>63</v>
      </c>
      <c r="E93" s="5" t="s">
        <v>185</v>
      </c>
      <c r="F93" s="6" t="s">
        <v>42</v>
      </c>
      <c r="G93" s="5" t="s">
        <v>65</v>
      </c>
      <c r="H93" s="7" t="n">
        <v>46163</v>
      </c>
      <c r="I93" s="6" t="n">
        <v>6</v>
      </c>
      <c r="J93" s="5" t="s">
        <v>113</v>
      </c>
      <c r="K93" s="5" t="s">
        <v>149</v>
      </c>
      <c r="L93" s="5" t="s">
        <v>46</v>
      </c>
      <c r="M93" s="5" t="s">
        <v>68</v>
      </c>
      <c r="N93" s="5" t="s">
        <v>714</v>
      </c>
      <c r="O93" s="5" t="s">
        <v>213</v>
      </c>
      <c r="P93" s="5" t="s">
        <v>154</v>
      </c>
      <c r="Q93" s="6" t="n">
        <v>3</v>
      </c>
      <c r="R93" s="6" t="n">
        <v>40</v>
      </c>
      <c r="S93" s="6" t="n">
        <f aca="false">SUMIFS(Allocations!$G$2:$G$274,Allocations!$B$2:$B$274,A93)</f>
        <v>52</v>
      </c>
      <c r="T93" s="8" t="n">
        <f aca="false">S93/R93</f>
        <v>1.3</v>
      </c>
      <c r="U93" s="6" t="n">
        <f aca="false">R93-S93</f>
        <v>-12</v>
      </c>
      <c r="V93" s="6" t="str">
        <f aca="false">IF(T93&gt;1,"Overloaded",IF(T93&lt;0.5,"Underutilized","Healthy"))</f>
        <v>Overloaded</v>
      </c>
      <c r="W93" s="5" t="s">
        <v>715</v>
      </c>
      <c r="X93" s="7"/>
      <c r="Y93" s="7"/>
      <c r="Z93" s="5" t="s">
        <v>716</v>
      </c>
    </row>
    <row r="94" customFormat="false" ht="15" hidden="false" customHeight="false" outlineLevel="0" collapsed="false">
      <c r="A94" s="5" t="s">
        <v>717</v>
      </c>
      <c r="B94" s="5" t="s">
        <v>718</v>
      </c>
      <c r="C94" s="5" t="s">
        <v>719</v>
      </c>
      <c r="D94" s="5" t="s">
        <v>146</v>
      </c>
      <c r="E94" s="5" t="s">
        <v>193</v>
      </c>
      <c r="F94" s="6" t="s">
        <v>161</v>
      </c>
      <c r="G94" s="5" t="s">
        <v>148</v>
      </c>
      <c r="H94" s="7" t="n">
        <v>45456</v>
      </c>
      <c r="I94" s="6" t="n">
        <v>2</v>
      </c>
      <c r="J94" s="5" t="s">
        <v>84</v>
      </c>
      <c r="K94" s="5" t="s">
        <v>67</v>
      </c>
      <c r="L94" s="5" t="s">
        <v>46</v>
      </c>
      <c r="M94" s="5" t="s">
        <v>68</v>
      </c>
      <c r="N94" s="5" t="s">
        <v>720</v>
      </c>
      <c r="O94" s="5" t="s">
        <v>684</v>
      </c>
      <c r="P94" s="5" t="s">
        <v>445</v>
      </c>
      <c r="Q94" s="6" t="n">
        <v>3</v>
      </c>
      <c r="R94" s="6" t="n">
        <v>40</v>
      </c>
      <c r="S94" s="6" t="n">
        <f aca="false">SUMIFS(Allocations!$G$2:$G$274,Allocations!$B$2:$B$274,A94)</f>
        <v>26</v>
      </c>
      <c r="T94" s="8" t="n">
        <f aca="false">S94/R94</f>
        <v>0.65</v>
      </c>
      <c r="U94" s="6" t="n">
        <f aca="false">R94-S94</f>
        <v>14</v>
      </c>
      <c r="V94" s="6" t="str">
        <f aca="false">IF(T94&gt;1,"Overloaded",IF(T94&lt;0.5,"Underutilized","Healthy"))</f>
        <v>Healthy</v>
      </c>
      <c r="W94" s="5" t="s">
        <v>721</v>
      </c>
      <c r="X94" s="7"/>
      <c r="Y94" s="7"/>
      <c r="Z94" s="5" t="s">
        <v>722</v>
      </c>
    </row>
    <row r="95" customFormat="false" ht="15" hidden="false" customHeight="false" outlineLevel="0" collapsed="false">
      <c r="A95" s="5" t="s">
        <v>723</v>
      </c>
      <c r="B95" s="5" t="s">
        <v>724</v>
      </c>
      <c r="C95" s="5" t="s">
        <v>725</v>
      </c>
      <c r="D95" s="5" t="s">
        <v>63</v>
      </c>
      <c r="E95" s="5" t="s">
        <v>127</v>
      </c>
      <c r="F95" s="6" t="s">
        <v>120</v>
      </c>
      <c r="G95" s="5" t="s">
        <v>65</v>
      </c>
      <c r="H95" s="7" t="n">
        <v>44114</v>
      </c>
      <c r="I95" s="6" t="n">
        <v>12</v>
      </c>
      <c r="J95" s="5" t="s">
        <v>84</v>
      </c>
      <c r="K95" s="5" t="s">
        <v>67</v>
      </c>
      <c r="L95" s="5" t="s">
        <v>46</v>
      </c>
      <c r="M95" s="5" t="s">
        <v>85</v>
      </c>
      <c r="N95" s="5" t="s">
        <v>726</v>
      </c>
      <c r="O95" s="5" t="s">
        <v>727</v>
      </c>
      <c r="P95" s="5" t="s">
        <v>214</v>
      </c>
      <c r="Q95" s="6" t="n">
        <v>3</v>
      </c>
      <c r="R95" s="6" t="n">
        <v>40</v>
      </c>
      <c r="S95" s="6" t="n">
        <f aca="false">SUMIFS(Allocations!$G$2:$G$274,Allocations!$B$2:$B$274,A95)</f>
        <v>34</v>
      </c>
      <c r="T95" s="8" t="n">
        <f aca="false">S95/R95</f>
        <v>0.85</v>
      </c>
      <c r="U95" s="6" t="n">
        <f aca="false">R95-S95</f>
        <v>6</v>
      </c>
      <c r="V95" s="6" t="str">
        <f aca="false">IF(T95&gt;1,"Overloaded",IF(T95&lt;0.5,"Underutilized","Healthy"))</f>
        <v>Healthy</v>
      </c>
      <c r="W95" s="5" t="s">
        <v>728</v>
      </c>
      <c r="X95" s="7"/>
      <c r="Y95" s="7"/>
      <c r="Z95" s="5"/>
    </row>
    <row r="96" customFormat="false" ht="15" hidden="false" customHeight="false" outlineLevel="0" collapsed="false">
      <c r="A96" s="5" t="s">
        <v>729</v>
      </c>
      <c r="B96" s="5" t="s">
        <v>730</v>
      </c>
      <c r="C96" s="5" t="s">
        <v>731</v>
      </c>
      <c r="D96" s="5" t="s">
        <v>135</v>
      </c>
      <c r="E96" s="5" t="s">
        <v>732</v>
      </c>
      <c r="F96" s="6" t="s">
        <v>95</v>
      </c>
      <c r="G96" s="5" t="s">
        <v>137</v>
      </c>
      <c r="H96" s="7" t="n">
        <v>43574</v>
      </c>
      <c r="I96" s="6" t="n">
        <v>8</v>
      </c>
      <c r="J96" s="5" t="s">
        <v>84</v>
      </c>
      <c r="K96" s="5" t="s">
        <v>67</v>
      </c>
      <c r="L96" s="5" t="s">
        <v>46</v>
      </c>
      <c r="M96" s="5" t="s">
        <v>169</v>
      </c>
      <c r="N96" s="5" t="s">
        <v>733</v>
      </c>
      <c r="O96" s="5" t="s">
        <v>409</v>
      </c>
      <c r="P96" s="5" t="s">
        <v>631</v>
      </c>
      <c r="Q96" s="6" t="n">
        <v>4</v>
      </c>
      <c r="R96" s="6" t="n">
        <v>40</v>
      </c>
      <c r="S96" s="6" t="n">
        <f aca="false">SUMIFS(Allocations!$G$2:$G$274,Allocations!$B$2:$B$274,A96)</f>
        <v>32</v>
      </c>
      <c r="T96" s="8" t="n">
        <f aca="false">S96/R96</f>
        <v>0.8</v>
      </c>
      <c r="U96" s="6" t="n">
        <f aca="false">R96-S96</f>
        <v>8</v>
      </c>
      <c r="V96" s="6" t="str">
        <f aca="false">IF(T96&gt;1,"Overloaded",IF(T96&lt;0.5,"Underutilized","Healthy"))</f>
        <v>Healthy</v>
      </c>
      <c r="W96" s="5" t="s">
        <v>734</v>
      </c>
      <c r="X96" s="7" t="n">
        <v>46346</v>
      </c>
      <c r="Y96" s="7" t="n">
        <v>46351</v>
      </c>
      <c r="Z96" s="5" t="s">
        <v>403</v>
      </c>
    </row>
    <row r="97" customFormat="false" ht="15" hidden="false" customHeight="false" outlineLevel="0" collapsed="false">
      <c r="A97" s="5" t="s">
        <v>735</v>
      </c>
      <c r="B97" s="5" t="s">
        <v>736</v>
      </c>
      <c r="C97" s="5" t="s">
        <v>737</v>
      </c>
      <c r="D97" s="5" t="s">
        <v>93</v>
      </c>
      <c r="E97" s="5" t="s">
        <v>738</v>
      </c>
      <c r="F97" s="6" t="s">
        <v>95</v>
      </c>
      <c r="G97" s="5" t="s">
        <v>96</v>
      </c>
      <c r="H97" s="7" t="n">
        <v>45702</v>
      </c>
      <c r="I97" s="6" t="n">
        <v>8</v>
      </c>
      <c r="J97" s="5" t="s">
        <v>84</v>
      </c>
      <c r="K97" s="5" t="s">
        <v>67</v>
      </c>
      <c r="L97" s="5" t="s">
        <v>150</v>
      </c>
      <c r="M97" s="5" t="s">
        <v>85</v>
      </c>
      <c r="N97" s="5" t="s">
        <v>739</v>
      </c>
      <c r="O97" s="5" t="s">
        <v>556</v>
      </c>
      <c r="P97" s="5" t="s">
        <v>740</v>
      </c>
      <c r="Q97" s="6" t="n">
        <v>3</v>
      </c>
      <c r="R97" s="6" t="n">
        <v>40</v>
      </c>
      <c r="S97" s="6" t="n">
        <f aca="false">SUMIFS(Allocations!$G$2:$G$274,Allocations!$B$2:$B$274,A97)</f>
        <v>48</v>
      </c>
      <c r="T97" s="8" t="n">
        <f aca="false">S97/R97</f>
        <v>1.2</v>
      </c>
      <c r="U97" s="6" t="n">
        <f aca="false">R97-S97</f>
        <v>-8</v>
      </c>
      <c r="V97" s="6" t="str">
        <f aca="false">IF(T97&gt;1,"Overloaded",IF(T97&lt;0.5,"Underutilized","Healthy"))</f>
        <v>Overloaded</v>
      </c>
      <c r="W97" s="5" t="s">
        <v>741</v>
      </c>
      <c r="X97" s="7"/>
      <c r="Y97" s="7"/>
      <c r="Z97" s="5" t="s">
        <v>742</v>
      </c>
    </row>
    <row r="98" customFormat="false" ht="15" hidden="false" customHeight="false" outlineLevel="0" collapsed="false">
      <c r="A98" s="5" t="s">
        <v>743</v>
      </c>
      <c r="B98" s="5" t="s">
        <v>137</v>
      </c>
      <c r="C98" s="5" t="s">
        <v>744</v>
      </c>
      <c r="D98" s="5" t="s">
        <v>135</v>
      </c>
      <c r="E98" s="5" t="s">
        <v>689</v>
      </c>
      <c r="F98" s="6" t="s">
        <v>120</v>
      </c>
      <c r="G98" s="5" t="s">
        <v>121</v>
      </c>
      <c r="H98" s="7" t="n">
        <v>44285</v>
      </c>
      <c r="I98" s="6" t="n">
        <v>14</v>
      </c>
      <c r="J98" s="5" t="s">
        <v>84</v>
      </c>
      <c r="K98" s="5" t="s">
        <v>67</v>
      </c>
      <c r="L98" s="5" t="s">
        <v>46</v>
      </c>
      <c r="M98" s="5" t="s">
        <v>57</v>
      </c>
      <c r="N98" s="5" t="s">
        <v>745</v>
      </c>
      <c r="O98" s="5" t="s">
        <v>746</v>
      </c>
      <c r="P98" s="5"/>
      <c r="Q98" s="6" t="n">
        <v>3</v>
      </c>
      <c r="R98" s="6" t="n">
        <v>40</v>
      </c>
      <c r="S98" s="6" t="n">
        <f aca="false">SUMIFS(Allocations!$G$2:$G$274,Allocations!$B$2:$B$274,A98)</f>
        <v>32</v>
      </c>
      <c r="T98" s="8" t="n">
        <f aca="false">S98/R98</f>
        <v>0.8</v>
      </c>
      <c r="U98" s="6" t="n">
        <f aca="false">R98-S98</f>
        <v>8</v>
      </c>
      <c r="V98" s="6" t="str">
        <f aca="false">IF(T98&gt;1,"Overloaded",IF(T98&lt;0.5,"Underutilized","Healthy"))</f>
        <v>Healthy</v>
      </c>
      <c r="W98" s="5" t="s">
        <v>747</v>
      </c>
      <c r="X98" s="7"/>
      <c r="Y98" s="7"/>
      <c r="Z98" s="5" t="s">
        <v>165</v>
      </c>
    </row>
    <row r="99" customFormat="false" ht="15" hidden="false" customHeight="false" outlineLevel="0" collapsed="false">
      <c r="A99" s="5" t="s">
        <v>748</v>
      </c>
      <c r="B99" s="5" t="s">
        <v>749</v>
      </c>
      <c r="C99" s="5" t="s">
        <v>750</v>
      </c>
      <c r="D99" s="5" t="s">
        <v>135</v>
      </c>
      <c r="E99" s="5" t="s">
        <v>136</v>
      </c>
      <c r="F99" s="6" t="s">
        <v>42</v>
      </c>
      <c r="G99" s="5" t="s">
        <v>137</v>
      </c>
      <c r="H99" s="7" t="n">
        <v>46297</v>
      </c>
      <c r="I99" s="6" t="n">
        <v>5</v>
      </c>
      <c r="J99" s="5" t="s">
        <v>56</v>
      </c>
      <c r="K99" s="5" t="s">
        <v>67</v>
      </c>
      <c r="L99" s="5" t="s">
        <v>46</v>
      </c>
      <c r="M99" s="5" t="s">
        <v>151</v>
      </c>
      <c r="N99" s="5" t="s">
        <v>751</v>
      </c>
      <c r="O99" s="5" t="s">
        <v>669</v>
      </c>
      <c r="P99" s="5" t="s">
        <v>752</v>
      </c>
      <c r="Q99" s="6" t="n">
        <v>4</v>
      </c>
      <c r="R99" s="6" t="n">
        <v>40</v>
      </c>
      <c r="S99" s="6" t="n">
        <f aca="false">SUMIFS(Allocations!$G$2:$G$274,Allocations!$B$2:$B$274,A99)</f>
        <v>34</v>
      </c>
      <c r="T99" s="8" t="n">
        <f aca="false">S99/R99</f>
        <v>0.85</v>
      </c>
      <c r="U99" s="6" t="n">
        <f aca="false">R99-S99</f>
        <v>6</v>
      </c>
      <c r="V99" s="6" t="str">
        <f aca="false">IF(T99&gt;1,"Overloaded",IF(T99&lt;0.5,"Underutilized","Healthy"))</f>
        <v>Healthy</v>
      </c>
      <c r="W99" s="5" t="s">
        <v>753</v>
      </c>
      <c r="X99" s="7"/>
      <c r="Y99" s="7"/>
      <c r="Z99" s="5" t="s">
        <v>116</v>
      </c>
    </row>
    <row r="100" customFormat="false" ht="15" hidden="false" customHeight="false" outlineLevel="0" collapsed="false">
      <c r="A100" s="5" t="s">
        <v>754</v>
      </c>
      <c r="B100" s="5" t="s">
        <v>755</v>
      </c>
      <c r="C100" s="5" t="s">
        <v>756</v>
      </c>
      <c r="D100" s="5" t="s">
        <v>63</v>
      </c>
      <c r="E100" s="5" t="s">
        <v>105</v>
      </c>
      <c r="F100" s="6" t="s">
        <v>55</v>
      </c>
      <c r="G100" s="5" t="s">
        <v>65</v>
      </c>
      <c r="H100" s="7" t="n">
        <v>44966</v>
      </c>
      <c r="I100" s="6" t="n">
        <v>3</v>
      </c>
      <c r="J100" s="5" t="s">
        <v>56</v>
      </c>
      <c r="K100" s="5" t="s">
        <v>45</v>
      </c>
      <c r="L100" s="5" t="s">
        <v>46</v>
      </c>
      <c r="M100" s="5" t="s">
        <v>68</v>
      </c>
      <c r="N100" s="5" t="s">
        <v>757</v>
      </c>
      <c r="O100" s="5" t="s">
        <v>758</v>
      </c>
      <c r="P100" s="5"/>
      <c r="Q100" s="6" t="n">
        <v>3</v>
      </c>
      <c r="R100" s="6" t="n">
        <v>40</v>
      </c>
      <c r="S100" s="6" t="n">
        <f aca="false">SUMIFS(Allocations!$G$2:$G$274,Allocations!$B$2:$B$274,A100)</f>
        <v>14</v>
      </c>
      <c r="T100" s="8" t="n">
        <f aca="false">S100/R100</f>
        <v>0.35</v>
      </c>
      <c r="U100" s="6" t="n">
        <f aca="false">R100-S100</f>
        <v>26</v>
      </c>
      <c r="V100" s="6" t="str">
        <f aca="false">IF(T100&gt;1,"Overloaded",IF(T100&lt;0.5,"Underutilized","Healthy"))</f>
        <v>Underutilized</v>
      </c>
      <c r="W100" s="5" t="s">
        <v>759</v>
      </c>
      <c r="X100" s="7"/>
      <c r="Y100" s="7"/>
      <c r="Z100" s="5" t="s">
        <v>760</v>
      </c>
    </row>
    <row r="101" customFormat="false" ht="15" hidden="false" customHeight="false" outlineLevel="0" collapsed="false">
      <c r="A101" s="5" t="s">
        <v>761</v>
      </c>
      <c r="B101" s="5" t="s">
        <v>762</v>
      </c>
      <c r="C101" s="5" t="s">
        <v>763</v>
      </c>
      <c r="D101" s="5" t="s">
        <v>135</v>
      </c>
      <c r="E101" s="5" t="s">
        <v>177</v>
      </c>
      <c r="F101" s="6" t="s">
        <v>55</v>
      </c>
      <c r="G101" s="5" t="s">
        <v>137</v>
      </c>
      <c r="H101" s="7" t="n">
        <v>45067</v>
      </c>
      <c r="I101" s="6" t="n">
        <v>3</v>
      </c>
      <c r="J101" s="5" t="s">
        <v>56</v>
      </c>
      <c r="K101" s="5" t="s">
        <v>67</v>
      </c>
      <c r="L101" s="5" t="s">
        <v>150</v>
      </c>
      <c r="M101" s="5" t="s">
        <v>47</v>
      </c>
      <c r="N101" s="5" t="s">
        <v>764</v>
      </c>
      <c r="O101" s="5" t="s">
        <v>765</v>
      </c>
      <c r="P101" s="5" t="s">
        <v>445</v>
      </c>
      <c r="Q101" s="6" t="n">
        <v>4</v>
      </c>
      <c r="R101" s="6" t="n">
        <v>40</v>
      </c>
      <c r="S101" s="6" t="n">
        <f aca="false">SUMIFS(Allocations!$G$2:$G$274,Allocations!$B$2:$B$274,A101)</f>
        <v>24</v>
      </c>
      <c r="T101" s="8" t="n">
        <f aca="false">S101/R101</f>
        <v>0.6</v>
      </c>
      <c r="U101" s="6" t="n">
        <f aca="false">R101-S101</f>
        <v>16</v>
      </c>
      <c r="V101" s="6" t="str">
        <f aca="false">IF(T101&gt;1,"Overloaded",IF(T101&lt;0.5,"Underutilized","Healthy"))</f>
        <v>Healthy</v>
      </c>
      <c r="W101" s="5" t="s">
        <v>766</v>
      </c>
      <c r="X101" s="7"/>
      <c r="Y101" s="7"/>
      <c r="Z101" s="5"/>
    </row>
    <row r="102" customFormat="false" ht="15" hidden="false" customHeight="false" outlineLevel="0" collapsed="false">
      <c r="A102" s="5" t="s">
        <v>767</v>
      </c>
      <c r="B102" s="5" t="s">
        <v>768</v>
      </c>
      <c r="C102" s="5" t="s">
        <v>769</v>
      </c>
      <c r="D102" s="5" t="s">
        <v>311</v>
      </c>
      <c r="E102" s="5" t="s">
        <v>655</v>
      </c>
      <c r="F102" s="6" t="s">
        <v>161</v>
      </c>
      <c r="G102" s="5" t="s">
        <v>309</v>
      </c>
      <c r="H102" s="7" t="n">
        <v>46210</v>
      </c>
      <c r="I102" s="6" t="n">
        <v>1</v>
      </c>
      <c r="J102" s="5" t="s">
        <v>66</v>
      </c>
      <c r="K102" s="5" t="s">
        <v>67</v>
      </c>
      <c r="L102" s="5" t="s">
        <v>46</v>
      </c>
      <c r="M102" s="5" t="s">
        <v>151</v>
      </c>
      <c r="N102" s="5" t="s">
        <v>770</v>
      </c>
      <c r="O102" s="5" t="s">
        <v>771</v>
      </c>
      <c r="P102" s="5" t="s">
        <v>360</v>
      </c>
      <c r="Q102" s="6" t="n">
        <v>3</v>
      </c>
      <c r="R102" s="6" t="n">
        <v>40</v>
      </c>
      <c r="S102" s="6" t="n">
        <f aca="false">SUMIFS(Allocations!$G$2:$G$274,Allocations!$B$2:$B$274,A102)</f>
        <v>36</v>
      </c>
      <c r="T102" s="8" t="n">
        <f aca="false">S102/R102</f>
        <v>0.9</v>
      </c>
      <c r="U102" s="6" t="n">
        <f aca="false">R102-S102</f>
        <v>4</v>
      </c>
      <c r="V102" s="6" t="str">
        <f aca="false">IF(T102&gt;1,"Overloaded",IF(T102&lt;0.5,"Underutilized","Healthy"))</f>
        <v>Healthy</v>
      </c>
      <c r="W102" s="5" t="s">
        <v>772</v>
      </c>
      <c r="X102" s="7"/>
      <c r="Y102" s="7"/>
      <c r="Z102" s="5" t="s">
        <v>658</v>
      </c>
    </row>
    <row r="103" customFormat="false" ht="15" hidden="false" customHeight="false" outlineLevel="0" collapsed="false">
      <c r="A103" s="5" t="s">
        <v>773</v>
      </c>
      <c r="B103" s="5" t="s">
        <v>774</v>
      </c>
      <c r="C103" s="5" t="s">
        <v>775</v>
      </c>
      <c r="D103" s="5" t="s">
        <v>93</v>
      </c>
      <c r="E103" s="5" t="s">
        <v>776</v>
      </c>
      <c r="F103" s="6" t="s">
        <v>55</v>
      </c>
      <c r="G103" s="5" t="s">
        <v>96</v>
      </c>
      <c r="H103" s="7" t="n">
        <v>44976</v>
      </c>
      <c r="I103" s="6" t="n">
        <v>3</v>
      </c>
      <c r="J103" s="5" t="s">
        <v>56</v>
      </c>
      <c r="K103" s="5" t="s">
        <v>67</v>
      </c>
      <c r="L103" s="5" t="s">
        <v>46</v>
      </c>
      <c r="M103" s="5" t="s">
        <v>85</v>
      </c>
      <c r="N103" s="5" t="s">
        <v>777</v>
      </c>
      <c r="O103" s="5" t="s">
        <v>409</v>
      </c>
      <c r="P103" s="5"/>
      <c r="Q103" s="6" t="n">
        <v>3</v>
      </c>
      <c r="R103" s="6" t="n">
        <v>40</v>
      </c>
      <c r="S103" s="6" t="n">
        <f aca="false">SUMIFS(Allocations!$G$2:$G$274,Allocations!$B$2:$B$274,A103)</f>
        <v>34</v>
      </c>
      <c r="T103" s="8" t="n">
        <f aca="false">S103/R103</f>
        <v>0.85</v>
      </c>
      <c r="U103" s="6" t="n">
        <f aca="false">R103-S103</f>
        <v>6</v>
      </c>
      <c r="V103" s="6" t="str">
        <f aca="false">IF(T103&gt;1,"Overloaded",IF(T103&lt;0.5,"Underutilized","Healthy"))</f>
        <v>Healthy</v>
      </c>
      <c r="W103" s="5" t="s">
        <v>778</v>
      </c>
      <c r="X103" s="7"/>
      <c r="Y103" s="7"/>
      <c r="Z103" s="5" t="s">
        <v>506</v>
      </c>
    </row>
    <row r="104" customFormat="false" ht="15" hidden="false" customHeight="false" outlineLevel="0" collapsed="false">
      <c r="A104" s="5" t="s">
        <v>779</v>
      </c>
      <c r="B104" s="5" t="s">
        <v>780</v>
      </c>
      <c r="C104" s="5" t="s">
        <v>781</v>
      </c>
      <c r="D104" s="5" t="s">
        <v>311</v>
      </c>
      <c r="E104" s="5" t="s">
        <v>655</v>
      </c>
      <c r="F104" s="6" t="s">
        <v>161</v>
      </c>
      <c r="G104" s="5" t="s">
        <v>309</v>
      </c>
      <c r="H104" s="7" t="n">
        <v>46283</v>
      </c>
      <c r="I104" s="6" t="n">
        <v>2</v>
      </c>
      <c r="J104" s="5" t="s">
        <v>113</v>
      </c>
      <c r="K104" s="5" t="s">
        <v>45</v>
      </c>
      <c r="L104" s="5" t="s">
        <v>46</v>
      </c>
      <c r="M104" s="5" t="s">
        <v>151</v>
      </c>
      <c r="N104" s="5" t="s">
        <v>782</v>
      </c>
      <c r="O104" s="5" t="s">
        <v>359</v>
      </c>
      <c r="P104" s="5" t="s">
        <v>360</v>
      </c>
      <c r="Q104" s="6" t="n">
        <v>3</v>
      </c>
      <c r="R104" s="6" t="n">
        <v>40</v>
      </c>
      <c r="S104" s="6" t="n">
        <f aca="false">SUMIFS(Allocations!$G$2:$G$274,Allocations!$B$2:$B$274,A104)</f>
        <v>36</v>
      </c>
      <c r="T104" s="8" t="n">
        <f aca="false">S104/R104</f>
        <v>0.9</v>
      </c>
      <c r="U104" s="6" t="n">
        <f aca="false">R104-S104</f>
        <v>4</v>
      </c>
      <c r="V104" s="6" t="str">
        <f aca="false">IF(T104&gt;1,"Overloaded",IF(T104&lt;0.5,"Underutilized","Healthy"))</f>
        <v>Healthy</v>
      </c>
      <c r="W104" s="5" t="s">
        <v>783</v>
      </c>
      <c r="X104" s="7"/>
      <c r="Y104" s="7"/>
      <c r="Z104" s="5"/>
    </row>
    <row r="105" customFormat="false" ht="15" hidden="false" customHeight="false" outlineLevel="0" collapsed="false">
      <c r="A105" s="5" t="s">
        <v>784</v>
      </c>
      <c r="B105" s="5" t="s">
        <v>785</v>
      </c>
      <c r="C105" s="5" t="s">
        <v>786</v>
      </c>
      <c r="D105" s="5" t="s">
        <v>135</v>
      </c>
      <c r="E105" s="5" t="s">
        <v>136</v>
      </c>
      <c r="F105" s="6" t="s">
        <v>42</v>
      </c>
      <c r="G105" s="5" t="s">
        <v>137</v>
      </c>
      <c r="H105" s="7" t="n">
        <v>45821</v>
      </c>
      <c r="I105" s="6" t="n">
        <v>5</v>
      </c>
      <c r="J105" s="5" t="s">
        <v>84</v>
      </c>
      <c r="K105" s="5" t="s">
        <v>149</v>
      </c>
      <c r="L105" s="5" t="s">
        <v>46</v>
      </c>
      <c r="M105" s="5" t="s">
        <v>85</v>
      </c>
      <c r="N105" s="5" t="s">
        <v>787</v>
      </c>
      <c r="O105" s="5" t="s">
        <v>788</v>
      </c>
      <c r="P105" s="5"/>
      <c r="Q105" s="6" t="n">
        <v>3</v>
      </c>
      <c r="R105" s="6" t="n">
        <v>40</v>
      </c>
      <c r="S105" s="6" t="n">
        <f aca="false">SUMIFS(Allocations!$G$2:$G$274,Allocations!$B$2:$B$274,A105)</f>
        <v>24</v>
      </c>
      <c r="T105" s="8" t="n">
        <f aca="false">S105/R105</f>
        <v>0.6</v>
      </c>
      <c r="U105" s="6" t="n">
        <f aca="false">R105-S105</f>
        <v>16</v>
      </c>
      <c r="V105" s="6" t="str">
        <f aca="false">IF(T105&gt;1,"Overloaded",IF(T105&lt;0.5,"Underutilized","Healthy"))</f>
        <v>Healthy</v>
      </c>
      <c r="W105" s="5" t="s">
        <v>789</v>
      </c>
      <c r="X105" s="7" t="n">
        <v>46340</v>
      </c>
      <c r="Y105" s="7" t="n">
        <v>46345</v>
      </c>
      <c r="Z105" s="5" t="s">
        <v>790</v>
      </c>
    </row>
    <row r="106" customFormat="false" ht="15" hidden="false" customHeight="false" outlineLevel="0" collapsed="false">
      <c r="A106" s="5" t="s">
        <v>791</v>
      </c>
      <c r="B106" s="5" t="s">
        <v>792</v>
      </c>
      <c r="C106" s="5" t="s">
        <v>793</v>
      </c>
      <c r="D106" s="5" t="s">
        <v>146</v>
      </c>
      <c r="E106" s="5" t="s">
        <v>147</v>
      </c>
      <c r="F106" s="6" t="s">
        <v>42</v>
      </c>
      <c r="G106" s="5" t="s">
        <v>148</v>
      </c>
      <c r="H106" s="7" t="n">
        <v>43949</v>
      </c>
      <c r="I106" s="6" t="n">
        <v>7</v>
      </c>
      <c r="J106" s="5" t="s">
        <v>113</v>
      </c>
      <c r="K106" s="5" t="s">
        <v>67</v>
      </c>
      <c r="L106" s="5" t="s">
        <v>46</v>
      </c>
      <c r="M106" s="5" t="s">
        <v>68</v>
      </c>
      <c r="N106" s="5" t="s">
        <v>794</v>
      </c>
      <c r="O106" s="5" t="s">
        <v>795</v>
      </c>
      <c r="P106" s="5" t="s">
        <v>154</v>
      </c>
      <c r="Q106" s="6" t="n">
        <v>3</v>
      </c>
      <c r="R106" s="6" t="n">
        <v>32</v>
      </c>
      <c r="S106" s="6" t="n">
        <f aca="false">SUMIFS(Allocations!$G$2:$G$274,Allocations!$B$2:$B$274,A106)</f>
        <v>24</v>
      </c>
      <c r="T106" s="8" t="n">
        <f aca="false">S106/R106</f>
        <v>0.75</v>
      </c>
      <c r="U106" s="6" t="n">
        <f aca="false">R106-S106</f>
        <v>8</v>
      </c>
      <c r="V106" s="6" t="str">
        <f aca="false">IF(T106&gt;1,"Overloaded",IF(T106&lt;0.5,"Underutilized","Healthy"))</f>
        <v>Healthy</v>
      </c>
      <c r="W106" s="5" t="s">
        <v>796</v>
      </c>
      <c r="X106" s="7"/>
      <c r="Y106" s="7"/>
      <c r="Z106" s="5" t="s">
        <v>797</v>
      </c>
    </row>
    <row r="107" customFormat="false" ht="15" hidden="false" customHeight="false" outlineLevel="0" collapsed="false">
      <c r="A107" s="5" t="s">
        <v>798</v>
      </c>
      <c r="B107" s="5" t="s">
        <v>799</v>
      </c>
      <c r="C107" s="5" t="s">
        <v>800</v>
      </c>
      <c r="D107" s="5" t="s">
        <v>93</v>
      </c>
      <c r="E107" s="5" t="s">
        <v>381</v>
      </c>
      <c r="F107" s="6" t="s">
        <v>42</v>
      </c>
      <c r="G107" s="5" t="s">
        <v>96</v>
      </c>
      <c r="H107" s="7" t="n">
        <v>43998</v>
      </c>
      <c r="I107" s="6" t="n">
        <v>6</v>
      </c>
      <c r="J107" s="5" t="s">
        <v>113</v>
      </c>
      <c r="K107" s="5" t="s">
        <v>67</v>
      </c>
      <c r="L107" s="5" t="s">
        <v>46</v>
      </c>
      <c r="M107" s="5" t="s">
        <v>85</v>
      </c>
      <c r="N107" s="5" t="s">
        <v>739</v>
      </c>
      <c r="O107" s="5" t="s">
        <v>801</v>
      </c>
      <c r="P107" s="5" t="s">
        <v>802</v>
      </c>
      <c r="Q107" s="6" t="n">
        <v>5</v>
      </c>
      <c r="R107" s="6" t="n">
        <v>40</v>
      </c>
      <c r="S107" s="6" t="n">
        <f aca="false">SUMIFS(Allocations!$G$2:$G$274,Allocations!$B$2:$B$274,A107)</f>
        <v>32</v>
      </c>
      <c r="T107" s="8" t="n">
        <f aca="false">S107/R107</f>
        <v>0.8</v>
      </c>
      <c r="U107" s="6" t="n">
        <f aca="false">R107-S107</f>
        <v>8</v>
      </c>
      <c r="V107" s="6" t="str">
        <f aca="false">IF(T107&gt;1,"Overloaded",IF(T107&lt;0.5,"Underutilized","Healthy"))</f>
        <v>Healthy</v>
      </c>
      <c r="W107" s="5" t="s">
        <v>803</v>
      </c>
      <c r="X107" s="7"/>
      <c r="Y107" s="7"/>
      <c r="Z107" s="5" t="s">
        <v>804</v>
      </c>
    </row>
    <row r="108" customFormat="false" ht="15" hidden="false" customHeight="false" outlineLevel="0" collapsed="false">
      <c r="A108" s="5" t="s">
        <v>805</v>
      </c>
      <c r="B108" s="5" t="s">
        <v>806</v>
      </c>
      <c r="C108" s="5" t="s">
        <v>807</v>
      </c>
      <c r="D108" s="5" t="s">
        <v>135</v>
      </c>
      <c r="E108" s="5" t="s">
        <v>568</v>
      </c>
      <c r="F108" s="6" t="s">
        <v>161</v>
      </c>
      <c r="G108" s="5" t="s">
        <v>137</v>
      </c>
      <c r="H108" s="7" t="n">
        <v>45516</v>
      </c>
      <c r="I108" s="6" t="n">
        <v>2</v>
      </c>
      <c r="J108" s="5" t="s">
        <v>84</v>
      </c>
      <c r="K108" s="5" t="s">
        <v>67</v>
      </c>
      <c r="L108" s="5" t="s">
        <v>46</v>
      </c>
      <c r="M108" s="5" t="s">
        <v>47</v>
      </c>
      <c r="N108" s="5" t="s">
        <v>399</v>
      </c>
      <c r="O108" s="5" t="s">
        <v>808</v>
      </c>
      <c r="P108" s="5" t="s">
        <v>809</v>
      </c>
      <c r="Q108" s="6" t="n">
        <v>3</v>
      </c>
      <c r="R108" s="6" t="n">
        <v>40</v>
      </c>
      <c r="S108" s="6" t="n">
        <f aca="false">SUMIFS(Allocations!$G$2:$G$274,Allocations!$B$2:$B$274,A108)</f>
        <v>34</v>
      </c>
      <c r="T108" s="8" t="n">
        <f aca="false">S108/R108</f>
        <v>0.85</v>
      </c>
      <c r="U108" s="6" t="n">
        <f aca="false">R108-S108</f>
        <v>6</v>
      </c>
      <c r="V108" s="6" t="str">
        <f aca="false">IF(T108&gt;1,"Overloaded",IF(T108&lt;0.5,"Underutilized","Healthy"))</f>
        <v>Healthy</v>
      </c>
      <c r="W108" s="5" t="s">
        <v>810</v>
      </c>
      <c r="X108" s="7"/>
      <c r="Y108" s="7"/>
      <c r="Z108" s="5" t="s">
        <v>447</v>
      </c>
    </row>
    <row r="109" customFormat="false" ht="15" hidden="false" customHeight="false" outlineLevel="0" collapsed="false">
      <c r="A109" s="5" t="s">
        <v>811</v>
      </c>
      <c r="B109" s="5" t="s">
        <v>812</v>
      </c>
      <c r="C109" s="5" t="s">
        <v>813</v>
      </c>
      <c r="D109" s="5" t="s">
        <v>63</v>
      </c>
      <c r="E109" s="5" t="s">
        <v>226</v>
      </c>
      <c r="F109" s="6" t="s">
        <v>95</v>
      </c>
      <c r="G109" s="5" t="s">
        <v>65</v>
      </c>
      <c r="H109" s="7" t="n">
        <v>43976</v>
      </c>
      <c r="I109" s="6" t="n">
        <v>9</v>
      </c>
      <c r="J109" s="5" t="s">
        <v>44</v>
      </c>
      <c r="K109" s="5" t="s">
        <v>67</v>
      </c>
      <c r="L109" s="5" t="s">
        <v>46</v>
      </c>
      <c r="M109" s="5" t="s">
        <v>47</v>
      </c>
      <c r="N109" s="5" t="s">
        <v>814</v>
      </c>
      <c r="O109" s="5" t="s">
        <v>815</v>
      </c>
      <c r="P109" s="5"/>
      <c r="Q109" s="6" t="n">
        <v>4</v>
      </c>
      <c r="R109" s="6" t="n">
        <v>40</v>
      </c>
      <c r="S109" s="6" t="n">
        <f aca="false">SUMIFS(Allocations!$G$2:$G$274,Allocations!$B$2:$B$274,A109)</f>
        <v>36</v>
      </c>
      <c r="T109" s="8" t="n">
        <f aca="false">S109/R109</f>
        <v>0.9</v>
      </c>
      <c r="U109" s="6" t="n">
        <f aca="false">R109-S109</f>
        <v>4</v>
      </c>
      <c r="V109" s="6" t="str">
        <f aca="false">IF(T109&gt;1,"Overloaded",IF(T109&lt;0.5,"Underutilized","Healthy"))</f>
        <v>Healthy</v>
      </c>
      <c r="W109" s="5" t="s">
        <v>505</v>
      </c>
      <c r="X109" s="7"/>
      <c r="Y109" s="7"/>
      <c r="Z109" s="5" t="s">
        <v>816</v>
      </c>
    </row>
    <row r="110" customFormat="false" ht="15" hidden="false" customHeight="false" outlineLevel="0" collapsed="false">
      <c r="A110" s="5" t="s">
        <v>817</v>
      </c>
      <c r="B110" s="5" t="s">
        <v>818</v>
      </c>
      <c r="C110" s="5" t="s">
        <v>819</v>
      </c>
      <c r="D110" s="5" t="s">
        <v>40</v>
      </c>
      <c r="E110" s="5" t="s">
        <v>820</v>
      </c>
      <c r="F110" s="6" t="s">
        <v>95</v>
      </c>
      <c r="G110" s="5" t="s">
        <v>43</v>
      </c>
      <c r="H110" s="7" t="n">
        <v>43940</v>
      </c>
      <c r="I110" s="6" t="n">
        <v>10</v>
      </c>
      <c r="J110" s="5" t="s">
        <v>66</v>
      </c>
      <c r="K110" s="5" t="s">
        <v>45</v>
      </c>
      <c r="L110" s="5" t="s">
        <v>46</v>
      </c>
      <c r="M110" s="5" t="s">
        <v>151</v>
      </c>
      <c r="N110" s="5" t="s">
        <v>821</v>
      </c>
      <c r="O110" s="5" t="s">
        <v>822</v>
      </c>
      <c r="P110" s="5" t="s">
        <v>214</v>
      </c>
      <c r="Q110" s="6" t="n">
        <v>3</v>
      </c>
      <c r="R110" s="6" t="n">
        <v>40</v>
      </c>
      <c r="S110" s="6" t="n">
        <f aca="false">SUMIFS(Allocations!$G$2:$G$274,Allocations!$B$2:$B$274,A110)</f>
        <v>26</v>
      </c>
      <c r="T110" s="8" t="n">
        <f aca="false">S110/R110</f>
        <v>0.65</v>
      </c>
      <c r="U110" s="6" t="n">
        <f aca="false">R110-S110</f>
        <v>14</v>
      </c>
      <c r="V110" s="6" t="str">
        <f aca="false">IF(T110&gt;1,"Overloaded",IF(T110&lt;0.5,"Underutilized","Healthy"))</f>
        <v>Healthy</v>
      </c>
      <c r="W110" s="5" t="s">
        <v>823</v>
      </c>
      <c r="X110" s="7"/>
      <c r="Y110" s="7"/>
      <c r="Z110" s="5" t="s">
        <v>476</v>
      </c>
    </row>
    <row r="111" customFormat="false" ht="15" hidden="false" customHeight="false" outlineLevel="0" collapsed="false">
      <c r="A111" s="5" t="s">
        <v>824</v>
      </c>
      <c r="B111" s="5" t="s">
        <v>825</v>
      </c>
      <c r="C111" s="5" t="s">
        <v>826</v>
      </c>
      <c r="D111" s="5" t="s">
        <v>135</v>
      </c>
      <c r="E111" s="5" t="s">
        <v>827</v>
      </c>
      <c r="F111" s="6" t="s">
        <v>95</v>
      </c>
      <c r="G111" s="5" t="s">
        <v>137</v>
      </c>
      <c r="H111" s="7" t="n">
        <v>44771</v>
      </c>
      <c r="I111" s="6" t="n">
        <v>9</v>
      </c>
      <c r="J111" s="5" t="s">
        <v>113</v>
      </c>
      <c r="K111" s="5" t="s">
        <v>45</v>
      </c>
      <c r="L111" s="5" t="s">
        <v>46</v>
      </c>
      <c r="M111" s="5" t="s">
        <v>76</v>
      </c>
      <c r="N111" s="5" t="s">
        <v>828</v>
      </c>
      <c r="O111" s="5" t="s">
        <v>829</v>
      </c>
      <c r="P111" s="5" t="s">
        <v>154</v>
      </c>
      <c r="Q111" s="6" t="n">
        <v>4</v>
      </c>
      <c r="R111" s="6" t="n">
        <v>40</v>
      </c>
      <c r="S111" s="6" t="n">
        <f aca="false">SUMIFS(Allocations!$G$2:$G$274,Allocations!$B$2:$B$274,A111)</f>
        <v>24</v>
      </c>
      <c r="T111" s="8" t="n">
        <f aca="false">S111/R111</f>
        <v>0.6</v>
      </c>
      <c r="U111" s="6" t="n">
        <f aca="false">R111-S111</f>
        <v>16</v>
      </c>
      <c r="V111" s="6" t="str">
        <f aca="false">IF(T111&gt;1,"Overloaded",IF(T111&lt;0.5,"Underutilized","Healthy"))</f>
        <v>Healthy</v>
      </c>
      <c r="W111" s="5" t="s">
        <v>830</v>
      </c>
      <c r="X111" s="7"/>
      <c r="Y111" s="7"/>
      <c r="Z111" s="5" t="s">
        <v>610</v>
      </c>
    </row>
    <row r="112" customFormat="false" ht="15" hidden="false" customHeight="false" outlineLevel="0" collapsed="false">
      <c r="A112" s="5" t="s">
        <v>831</v>
      </c>
      <c r="B112" s="5" t="s">
        <v>832</v>
      </c>
      <c r="C112" s="5" t="s">
        <v>833</v>
      </c>
      <c r="D112" s="5" t="s">
        <v>63</v>
      </c>
      <c r="E112" s="5" t="s">
        <v>185</v>
      </c>
      <c r="F112" s="6" t="s">
        <v>42</v>
      </c>
      <c r="G112" s="5" t="s">
        <v>65</v>
      </c>
      <c r="H112" s="7" t="n">
        <v>45039</v>
      </c>
      <c r="I112" s="6" t="n">
        <v>5</v>
      </c>
      <c r="J112" s="5" t="s">
        <v>56</v>
      </c>
      <c r="K112" s="5" t="s">
        <v>67</v>
      </c>
      <c r="L112" s="5" t="s">
        <v>46</v>
      </c>
      <c r="M112" s="5" t="s">
        <v>57</v>
      </c>
      <c r="N112" s="5" t="s">
        <v>834</v>
      </c>
      <c r="O112" s="5" t="s">
        <v>835</v>
      </c>
      <c r="P112" s="5"/>
      <c r="Q112" s="6" t="n">
        <v>3</v>
      </c>
      <c r="R112" s="6" t="n">
        <v>40</v>
      </c>
      <c r="S112" s="6" t="n">
        <f aca="false">SUMIFS(Allocations!$G$2:$G$274,Allocations!$B$2:$B$274,A112)</f>
        <v>30</v>
      </c>
      <c r="T112" s="8" t="n">
        <f aca="false">S112/R112</f>
        <v>0.75</v>
      </c>
      <c r="U112" s="6" t="n">
        <f aca="false">R112-S112</f>
        <v>10</v>
      </c>
      <c r="V112" s="6" t="str">
        <f aca="false">IF(T112&gt;1,"Overloaded",IF(T112&lt;0.5,"Underutilized","Healthy"))</f>
        <v>Healthy</v>
      </c>
      <c r="W112" s="5" t="s">
        <v>836</v>
      </c>
      <c r="X112" s="7"/>
      <c r="Y112" s="7"/>
      <c r="Z112" s="5" t="s">
        <v>377</v>
      </c>
    </row>
    <row r="113" customFormat="false" ht="15" hidden="false" customHeight="false" outlineLevel="0" collapsed="false">
      <c r="A113" s="5" t="s">
        <v>837</v>
      </c>
      <c r="B113" s="5" t="s">
        <v>838</v>
      </c>
      <c r="C113" s="5" t="s">
        <v>839</v>
      </c>
      <c r="D113" s="5" t="s">
        <v>202</v>
      </c>
      <c r="E113" s="5" t="s">
        <v>203</v>
      </c>
      <c r="F113" s="6" t="s">
        <v>95</v>
      </c>
      <c r="G113" s="5" t="s">
        <v>204</v>
      </c>
      <c r="H113" s="7" t="n">
        <v>44996</v>
      </c>
      <c r="I113" s="6" t="n">
        <v>10</v>
      </c>
      <c r="J113" s="5" t="s">
        <v>113</v>
      </c>
      <c r="K113" s="5" t="s">
        <v>67</v>
      </c>
      <c r="L113" s="5" t="s">
        <v>150</v>
      </c>
      <c r="M113" s="5" t="s">
        <v>57</v>
      </c>
      <c r="N113" s="5" t="s">
        <v>205</v>
      </c>
      <c r="O113" s="5"/>
      <c r="P113" s="5"/>
      <c r="Q113" s="6" t="n">
        <v>4</v>
      </c>
      <c r="R113" s="6" t="n">
        <v>40</v>
      </c>
      <c r="S113" s="6" t="n">
        <f aca="false">SUMIFS(Allocations!$G$2:$G$274,Allocations!$B$2:$B$274,A113)</f>
        <v>26</v>
      </c>
      <c r="T113" s="8" t="n">
        <f aca="false">S113/R113</f>
        <v>0.65</v>
      </c>
      <c r="U113" s="6" t="n">
        <f aca="false">R113-S113</f>
        <v>14</v>
      </c>
      <c r="V113" s="6" t="str">
        <f aca="false">IF(T113&gt;1,"Overloaded",IF(T113&lt;0.5,"Underutilized","Healthy"))</f>
        <v>Healthy</v>
      </c>
      <c r="W113" s="5" t="s">
        <v>840</v>
      </c>
      <c r="X113" s="7"/>
      <c r="Y113" s="7"/>
      <c r="Z113" s="5" t="s">
        <v>841</v>
      </c>
    </row>
    <row r="114" customFormat="false" ht="15" hidden="false" customHeight="false" outlineLevel="0" collapsed="false">
      <c r="A114" s="5" t="s">
        <v>842</v>
      </c>
      <c r="B114" s="5" t="s">
        <v>843</v>
      </c>
      <c r="C114" s="5" t="s">
        <v>844</v>
      </c>
      <c r="D114" s="5" t="s">
        <v>63</v>
      </c>
      <c r="E114" s="5" t="s">
        <v>496</v>
      </c>
      <c r="F114" s="6" t="s">
        <v>42</v>
      </c>
      <c r="G114" s="5" t="s">
        <v>65</v>
      </c>
      <c r="H114" s="7" t="n">
        <v>45842</v>
      </c>
      <c r="I114" s="6" t="n">
        <v>6</v>
      </c>
      <c r="J114" s="5" t="s">
        <v>84</v>
      </c>
      <c r="K114" s="5" t="s">
        <v>45</v>
      </c>
      <c r="L114" s="5" t="s">
        <v>46</v>
      </c>
      <c r="M114" s="5" t="s">
        <v>85</v>
      </c>
      <c r="N114" s="5" t="s">
        <v>845</v>
      </c>
      <c r="O114" s="5" t="s">
        <v>846</v>
      </c>
      <c r="P114" s="5"/>
      <c r="Q114" s="6" t="n">
        <v>4</v>
      </c>
      <c r="R114" s="6" t="n">
        <v>32</v>
      </c>
      <c r="S114" s="6" t="n">
        <f aca="false">SUMIFS(Allocations!$G$2:$G$274,Allocations!$B$2:$B$274,A114)</f>
        <v>26</v>
      </c>
      <c r="T114" s="8" t="n">
        <f aca="false">S114/R114</f>
        <v>0.8125</v>
      </c>
      <c r="U114" s="6" t="n">
        <f aca="false">R114-S114</f>
        <v>6</v>
      </c>
      <c r="V114" s="6" t="str">
        <f aca="false">IF(T114&gt;1,"Overloaded",IF(T114&lt;0.5,"Underutilized","Healthy"))</f>
        <v>Healthy</v>
      </c>
      <c r="W114" s="5" t="s">
        <v>847</v>
      </c>
      <c r="X114" s="7"/>
      <c r="Y114" s="7"/>
      <c r="Z114" s="5" t="s">
        <v>848</v>
      </c>
    </row>
    <row r="115" customFormat="false" ht="15" hidden="false" customHeight="false" outlineLevel="0" collapsed="false">
      <c r="A115" s="5" t="s">
        <v>849</v>
      </c>
      <c r="B115" s="5" t="s">
        <v>850</v>
      </c>
      <c r="C115" s="5" t="s">
        <v>851</v>
      </c>
      <c r="D115" s="5" t="s">
        <v>135</v>
      </c>
      <c r="E115" s="5" t="s">
        <v>136</v>
      </c>
      <c r="F115" s="6" t="s">
        <v>42</v>
      </c>
      <c r="G115" s="5" t="s">
        <v>137</v>
      </c>
      <c r="H115" s="7" t="n">
        <v>45045</v>
      </c>
      <c r="I115" s="6" t="n">
        <v>5</v>
      </c>
      <c r="J115" s="5" t="s">
        <v>44</v>
      </c>
      <c r="K115" s="5" t="s">
        <v>67</v>
      </c>
      <c r="L115" s="5" t="s">
        <v>46</v>
      </c>
      <c r="M115" s="5" t="s">
        <v>47</v>
      </c>
      <c r="N115" s="5" t="s">
        <v>720</v>
      </c>
      <c r="O115" s="5" t="s">
        <v>669</v>
      </c>
      <c r="P115" s="5" t="s">
        <v>852</v>
      </c>
      <c r="Q115" s="6" t="n">
        <v>3</v>
      </c>
      <c r="R115" s="6" t="n">
        <v>40</v>
      </c>
      <c r="S115" s="6" t="n">
        <f aca="false">SUMIFS(Allocations!$G$2:$G$274,Allocations!$B$2:$B$274,A115)</f>
        <v>28</v>
      </c>
      <c r="T115" s="8" t="n">
        <f aca="false">S115/R115</f>
        <v>0.7</v>
      </c>
      <c r="U115" s="6" t="n">
        <f aca="false">R115-S115</f>
        <v>12</v>
      </c>
      <c r="V115" s="6" t="str">
        <f aca="false">IF(T115&gt;1,"Overloaded",IF(T115&lt;0.5,"Underutilized","Healthy"))</f>
        <v>Healthy</v>
      </c>
      <c r="W115" s="5" t="s">
        <v>853</v>
      </c>
      <c r="X115" s="7"/>
      <c r="Y115" s="7"/>
      <c r="Z115" s="5" t="s">
        <v>854</v>
      </c>
    </row>
    <row r="116" customFormat="false" ht="15" hidden="false" customHeight="false" outlineLevel="0" collapsed="false">
      <c r="A116" s="5" t="s">
        <v>855</v>
      </c>
      <c r="B116" s="5" t="s">
        <v>856</v>
      </c>
      <c r="C116" s="5" t="s">
        <v>857</v>
      </c>
      <c r="D116" s="5" t="s">
        <v>63</v>
      </c>
      <c r="E116" s="5" t="s">
        <v>83</v>
      </c>
      <c r="F116" s="6" t="s">
        <v>42</v>
      </c>
      <c r="G116" s="5" t="s">
        <v>65</v>
      </c>
      <c r="H116" s="7" t="n">
        <v>44258</v>
      </c>
      <c r="I116" s="6" t="n">
        <v>5</v>
      </c>
      <c r="J116" s="5" t="s">
        <v>84</v>
      </c>
      <c r="K116" s="5" t="s">
        <v>67</v>
      </c>
      <c r="L116" s="5" t="s">
        <v>46</v>
      </c>
      <c r="M116" s="5" t="s">
        <v>151</v>
      </c>
      <c r="N116" s="5" t="s">
        <v>858</v>
      </c>
      <c r="O116" s="5" t="s">
        <v>859</v>
      </c>
      <c r="P116" s="5"/>
      <c r="Q116" s="6" t="n">
        <v>3</v>
      </c>
      <c r="R116" s="6" t="n">
        <v>40</v>
      </c>
      <c r="S116" s="6" t="n">
        <f aca="false">SUMIFS(Allocations!$G$2:$G$274,Allocations!$B$2:$B$274,A116)</f>
        <v>32</v>
      </c>
      <c r="T116" s="8" t="n">
        <f aca="false">S116/R116</f>
        <v>0.8</v>
      </c>
      <c r="U116" s="6" t="n">
        <f aca="false">R116-S116</f>
        <v>8</v>
      </c>
      <c r="V116" s="6" t="str">
        <f aca="false">IF(T116&gt;1,"Overloaded",IF(T116&lt;0.5,"Underutilized","Healthy"))</f>
        <v>Healthy</v>
      </c>
      <c r="W116" s="5" t="s">
        <v>860</v>
      </c>
      <c r="X116" s="7"/>
      <c r="Y116" s="7"/>
      <c r="Z116" s="5" t="s">
        <v>861</v>
      </c>
    </row>
    <row r="117" customFormat="false" ht="15" hidden="false" customHeight="false" outlineLevel="0" collapsed="false">
      <c r="A117" s="5" t="s">
        <v>862</v>
      </c>
      <c r="B117" s="5" t="s">
        <v>863</v>
      </c>
      <c r="C117" s="5" t="s">
        <v>864</v>
      </c>
      <c r="D117" s="5" t="s">
        <v>63</v>
      </c>
      <c r="E117" s="5" t="s">
        <v>865</v>
      </c>
      <c r="F117" s="6" t="s">
        <v>120</v>
      </c>
      <c r="G117" s="5" t="s">
        <v>65</v>
      </c>
      <c r="H117" s="7" t="n">
        <v>46127</v>
      </c>
      <c r="I117" s="6" t="n">
        <v>12</v>
      </c>
      <c r="J117" s="5" t="s">
        <v>56</v>
      </c>
      <c r="K117" s="5" t="s">
        <v>67</v>
      </c>
      <c r="L117" s="5" t="s">
        <v>46</v>
      </c>
      <c r="M117" s="5" t="s">
        <v>151</v>
      </c>
      <c r="N117" s="5" t="s">
        <v>293</v>
      </c>
      <c r="O117" s="5" t="s">
        <v>866</v>
      </c>
      <c r="P117" s="5"/>
      <c r="Q117" s="6" t="n">
        <v>4</v>
      </c>
      <c r="R117" s="6" t="n">
        <v>40</v>
      </c>
      <c r="S117" s="6" t="n">
        <f aca="false">SUMIFS(Allocations!$G$2:$G$274,Allocations!$B$2:$B$274,A117)</f>
        <v>28</v>
      </c>
      <c r="T117" s="8" t="n">
        <f aca="false">S117/R117</f>
        <v>0.7</v>
      </c>
      <c r="U117" s="6" t="n">
        <f aca="false">R117-S117</f>
        <v>12</v>
      </c>
      <c r="V117" s="6" t="str">
        <f aca="false">IF(T117&gt;1,"Overloaded",IF(T117&lt;0.5,"Underutilized","Healthy"))</f>
        <v>Healthy</v>
      </c>
      <c r="W117" s="5" t="s">
        <v>867</v>
      </c>
      <c r="X117" s="7"/>
      <c r="Y117" s="7"/>
      <c r="Z117" s="5" t="s">
        <v>173</v>
      </c>
    </row>
    <row r="118" customFormat="false" ht="15" hidden="false" customHeight="false" outlineLevel="0" collapsed="false">
      <c r="A118" s="5" t="s">
        <v>868</v>
      </c>
      <c r="B118" s="5" t="s">
        <v>148</v>
      </c>
      <c r="C118" s="5" t="s">
        <v>869</v>
      </c>
      <c r="D118" s="5" t="s">
        <v>146</v>
      </c>
      <c r="E118" s="5" t="s">
        <v>870</v>
      </c>
      <c r="F118" s="6" t="s">
        <v>95</v>
      </c>
      <c r="G118" s="5" t="s">
        <v>121</v>
      </c>
      <c r="H118" s="7" t="n">
        <v>45027</v>
      </c>
      <c r="I118" s="6" t="n">
        <v>8</v>
      </c>
      <c r="J118" s="5" t="s">
        <v>84</v>
      </c>
      <c r="K118" s="5" t="s">
        <v>67</v>
      </c>
      <c r="L118" s="5" t="s">
        <v>46</v>
      </c>
      <c r="M118" s="5" t="s">
        <v>57</v>
      </c>
      <c r="N118" s="5" t="s">
        <v>871</v>
      </c>
      <c r="O118" s="5" t="s">
        <v>872</v>
      </c>
      <c r="P118" s="5" t="s">
        <v>873</v>
      </c>
      <c r="Q118" s="6" t="n">
        <v>5</v>
      </c>
      <c r="R118" s="6" t="n">
        <v>40</v>
      </c>
      <c r="S118" s="6" t="n">
        <f aca="false">SUMIFS(Allocations!$G$2:$G$274,Allocations!$B$2:$B$274,A118)</f>
        <v>26</v>
      </c>
      <c r="T118" s="8" t="n">
        <f aca="false">S118/R118</f>
        <v>0.65</v>
      </c>
      <c r="U118" s="6" t="n">
        <f aca="false">R118-S118</f>
        <v>14</v>
      </c>
      <c r="V118" s="6" t="str">
        <f aca="false">IF(T118&gt;1,"Overloaded",IF(T118&lt;0.5,"Underutilized","Healthy"))</f>
        <v>Healthy</v>
      </c>
      <c r="W118" s="5" t="s">
        <v>874</v>
      </c>
      <c r="X118" s="7"/>
      <c r="Y118" s="7"/>
      <c r="Z118" s="5"/>
    </row>
    <row r="119" customFormat="false" ht="15" hidden="false" customHeight="false" outlineLevel="0" collapsed="false">
      <c r="A119" s="5" t="s">
        <v>875</v>
      </c>
      <c r="B119" s="5" t="s">
        <v>876</v>
      </c>
      <c r="C119" s="5" t="s">
        <v>877</v>
      </c>
      <c r="D119" s="5" t="s">
        <v>40</v>
      </c>
      <c r="E119" s="5" t="s">
        <v>820</v>
      </c>
      <c r="F119" s="6" t="s">
        <v>95</v>
      </c>
      <c r="G119" s="5" t="s">
        <v>43</v>
      </c>
      <c r="H119" s="7" t="n">
        <v>45873</v>
      </c>
      <c r="I119" s="6" t="n">
        <v>10</v>
      </c>
      <c r="J119" s="5" t="s">
        <v>113</v>
      </c>
      <c r="K119" s="5" t="s">
        <v>149</v>
      </c>
      <c r="L119" s="5" t="s">
        <v>46</v>
      </c>
      <c r="M119" s="5" t="s">
        <v>151</v>
      </c>
      <c r="N119" s="5" t="s">
        <v>451</v>
      </c>
      <c r="O119" s="5" t="s">
        <v>409</v>
      </c>
      <c r="P119" s="5"/>
      <c r="Q119" s="6" t="n">
        <v>4</v>
      </c>
      <c r="R119" s="6" t="n">
        <v>40</v>
      </c>
      <c r="S119" s="6" t="n">
        <f aca="false">SUMIFS(Allocations!$G$2:$G$274,Allocations!$B$2:$B$274,A119)</f>
        <v>28</v>
      </c>
      <c r="T119" s="8" t="n">
        <f aca="false">S119/R119</f>
        <v>0.7</v>
      </c>
      <c r="U119" s="6" t="n">
        <f aca="false">R119-S119</f>
        <v>12</v>
      </c>
      <c r="V119" s="6" t="str">
        <f aca="false">IF(T119&gt;1,"Overloaded",IF(T119&lt;0.5,"Underutilized","Healthy"))</f>
        <v>Healthy</v>
      </c>
      <c r="W119" s="5" t="s">
        <v>878</v>
      </c>
      <c r="X119" s="7"/>
      <c r="Y119" s="7"/>
      <c r="Z119" s="5" t="s">
        <v>322</v>
      </c>
    </row>
    <row r="120" customFormat="false" ht="15" hidden="false" customHeight="false" outlineLevel="0" collapsed="false">
      <c r="A120" s="5" t="s">
        <v>879</v>
      </c>
      <c r="B120" s="5" t="s">
        <v>880</v>
      </c>
      <c r="C120" s="5" t="s">
        <v>881</v>
      </c>
      <c r="D120" s="5" t="s">
        <v>63</v>
      </c>
      <c r="E120" s="5" t="s">
        <v>226</v>
      </c>
      <c r="F120" s="6" t="s">
        <v>95</v>
      </c>
      <c r="G120" s="5" t="s">
        <v>65</v>
      </c>
      <c r="H120" s="7" t="n">
        <v>44453</v>
      </c>
      <c r="I120" s="6" t="n">
        <v>9</v>
      </c>
      <c r="J120" s="5" t="s">
        <v>84</v>
      </c>
      <c r="K120" s="5" t="s">
        <v>67</v>
      </c>
      <c r="L120" s="5" t="s">
        <v>46</v>
      </c>
      <c r="M120" s="5" t="s">
        <v>47</v>
      </c>
      <c r="N120" s="5" t="s">
        <v>882</v>
      </c>
      <c r="O120" s="5" t="s">
        <v>883</v>
      </c>
      <c r="P120" s="5"/>
      <c r="Q120" s="6" t="n">
        <v>3</v>
      </c>
      <c r="R120" s="6" t="n">
        <v>40</v>
      </c>
      <c r="S120" s="6" t="n">
        <f aca="false">SUMIFS(Allocations!$G$2:$G$274,Allocations!$B$2:$B$274,A120)</f>
        <v>48</v>
      </c>
      <c r="T120" s="8" t="n">
        <f aca="false">S120/R120</f>
        <v>1.2</v>
      </c>
      <c r="U120" s="6" t="n">
        <f aca="false">R120-S120</f>
        <v>-8</v>
      </c>
      <c r="V120" s="6" t="str">
        <f aca="false">IF(T120&gt;1,"Overloaded",IF(T120&lt;0.5,"Underutilized","Healthy"))</f>
        <v>Overloaded</v>
      </c>
      <c r="W120" s="5" t="s">
        <v>884</v>
      </c>
      <c r="X120" s="7" t="n">
        <v>46345</v>
      </c>
      <c r="Y120" s="7" t="n">
        <v>46354</v>
      </c>
      <c r="Z120" s="5"/>
    </row>
    <row r="121" customFormat="false" ht="15" hidden="false" customHeight="false" outlineLevel="0" collapsed="false">
      <c r="A121" s="5" t="s">
        <v>885</v>
      </c>
      <c r="B121" s="5" t="s">
        <v>886</v>
      </c>
      <c r="C121" s="5" t="s">
        <v>887</v>
      </c>
      <c r="D121" s="5" t="s">
        <v>135</v>
      </c>
      <c r="E121" s="5" t="s">
        <v>732</v>
      </c>
      <c r="F121" s="6" t="s">
        <v>95</v>
      </c>
      <c r="G121" s="5" t="s">
        <v>137</v>
      </c>
      <c r="H121" s="7" t="n">
        <v>42984</v>
      </c>
      <c r="I121" s="6" t="n">
        <v>9</v>
      </c>
      <c r="J121" s="5" t="s">
        <v>113</v>
      </c>
      <c r="K121" s="5" t="s">
        <v>149</v>
      </c>
      <c r="L121" s="5" t="s">
        <v>46</v>
      </c>
      <c r="M121" s="5" t="s">
        <v>47</v>
      </c>
      <c r="N121" s="5" t="s">
        <v>327</v>
      </c>
      <c r="O121" s="5" t="s">
        <v>328</v>
      </c>
      <c r="P121" s="5" t="s">
        <v>631</v>
      </c>
      <c r="Q121" s="6" t="n">
        <v>3</v>
      </c>
      <c r="R121" s="6" t="n">
        <v>40</v>
      </c>
      <c r="S121" s="6" t="n">
        <f aca="false">SUMIFS(Allocations!$G$2:$G$274,Allocations!$B$2:$B$274,A121)</f>
        <v>26</v>
      </c>
      <c r="T121" s="8" t="n">
        <f aca="false">S121/R121</f>
        <v>0.65</v>
      </c>
      <c r="U121" s="6" t="n">
        <f aca="false">R121-S121</f>
        <v>14</v>
      </c>
      <c r="V121" s="6" t="str">
        <f aca="false">IF(T121&gt;1,"Overloaded",IF(T121&lt;0.5,"Underutilized","Healthy"))</f>
        <v>Healthy</v>
      </c>
      <c r="W121" s="5" t="s">
        <v>888</v>
      </c>
      <c r="X121" s="7"/>
      <c r="Y121" s="7"/>
      <c r="Z121" s="5" t="s">
        <v>889</v>
      </c>
    </row>
  </sheetData>
  <autoFilter ref="A1:Z121"/>
  <conditionalFormatting sqref="V2:V121">
    <cfRule type="cellIs" priority="2" operator="equal" aboveAverage="0" equalAverage="0" bottom="0" percent="0" rank="0" text="" dxfId="6">
      <formula>"Overloaded"</formula>
    </cfRule>
    <cfRule type="cellIs" priority="3" operator="equal" aboveAverage="0" equalAverage="0" bottom="0" percent="0" rank="0" text="" dxfId="7">
      <formula>"Underutilized"</formula>
    </cfRule>
    <cfRule type="cellIs" priority="4" operator="equal" aboveAverage="0" equalAverage="0" bottom="0" percent="0" rank="0" text="" dxfId="8">
      <formula>"Healthy"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18" min="3" style="0" width="13"/>
  </cols>
  <sheetData>
    <row r="1" customFormat="false" ht="33.75" hidden="false" customHeight="true" outlineLevel="0" collapsed="false">
      <c r="A1" s="4" t="s">
        <v>11</v>
      </c>
      <c r="B1" s="4" t="s">
        <v>12</v>
      </c>
      <c r="C1" s="4" t="s">
        <v>890</v>
      </c>
      <c r="D1" s="4" t="s">
        <v>891</v>
      </c>
      <c r="E1" s="4" t="s">
        <v>892</v>
      </c>
      <c r="F1" s="4" t="s">
        <v>893</v>
      </c>
      <c r="G1" s="4" t="s">
        <v>894</v>
      </c>
      <c r="H1" s="4" t="s">
        <v>895</v>
      </c>
      <c r="I1" s="4" t="s">
        <v>896</v>
      </c>
      <c r="J1" s="4" t="s">
        <v>897</v>
      </c>
      <c r="K1" s="4" t="s">
        <v>898</v>
      </c>
      <c r="L1" s="4" t="s">
        <v>899</v>
      </c>
      <c r="M1" s="4" t="s">
        <v>900</v>
      </c>
      <c r="N1" s="4" t="s">
        <v>901</v>
      </c>
      <c r="O1" s="4" t="s">
        <v>902</v>
      </c>
      <c r="P1" s="4" t="s">
        <v>903</v>
      </c>
      <c r="Q1" s="4" t="s">
        <v>904</v>
      </c>
      <c r="R1" s="4" t="s">
        <v>905</v>
      </c>
    </row>
    <row r="2" customFormat="false" ht="15" hidden="false" customHeight="false" outlineLevel="0" collapsed="false">
      <c r="A2" s="5" t="s">
        <v>37</v>
      </c>
      <c r="B2" s="5" t="s">
        <v>38</v>
      </c>
      <c r="C2" s="6"/>
      <c r="D2" s="6" t="n">
        <v>2</v>
      </c>
      <c r="E2" s="6"/>
      <c r="F2" s="6"/>
      <c r="G2" s="6" t="n">
        <v>3</v>
      </c>
      <c r="H2" s="6"/>
      <c r="I2" s="6"/>
      <c r="J2" s="6"/>
      <c r="K2" s="6"/>
      <c r="L2" s="6"/>
      <c r="M2" s="6"/>
      <c r="N2" s="6"/>
      <c r="O2" s="6"/>
      <c r="P2" s="6" t="n">
        <v>5</v>
      </c>
      <c r="Q2" s="6"/>
      <c r="R2" s="6"/>
    </row>
    <row r="3" customFormat="false" ht="15" hidden="false" customHeight="false" outlineLevel="0" collapsed="false">
      <c r="A3" s="5" t="s">
        <v>51</v>
      </c>
      <c r="B3" s="5" t="s">
        <v>52</v>
      </c>
      <c r="C3" s="6"/>
      <c r="D3" s="6" t="n">
        <v>3</v>
      </c>
      <c r="E3" s="6"/>
      <c r="F3" s="6"/>
      <c r="G3" s="6" t="n">
        <v>2</v>
      </c>
      <c r="H3" s="6"/>
      <c r="I3" s="6"/>
      <c r="J3" s="6"/>
      <c r="K3" s="6"/>
      <c r="L3" s="6"/>
      <c r="M3" s="6"/>
      <c r="N3" s="6"/>
      <c r="O3" s="6"/>
      <c r="P3" s="6" t="n">
        <v>5</v>
      </c>
      <c r="Q3" s="6"/>
      <c r="R3" s="6"/>
    </row>
    <row r="4" customFormat="false" ht="15" hidden="false" customHeight="false" outlineLevel="0" collapsed="false">
      <c r="A4" s="5" t="s">
        <v>60</v>
      </c>
      <c r="B4" s="5" t="s">
        <v>61</v>
      </c>
      <c r="C4" s="6"/>
      <c r="D4" s="6" t="n">
        <v>3</v>
      </c>
      <c r="E4" s="6" t="n">
        <v>5</v>
      </c>
      <c r="F4" s="6"/>
      <c r="G4" s="6"/>
      <c r="H4" s="6"/>
      <c r="I4" s="6"/>
      <c r="J4" s="6"/>
      <c r="K4" s="6"/>
      <c r="L4" s="6"/>
      <c r="M4" s="6"/>
      <c r="N4" s="6"/>
      <c r="O4" s="6" t="n">
        <v>4</v>
      </c>
      <c r="P4" s="6" t="n">
        <v>3</v>
      </c>
      <c r="Q4" s="6"/>
      <c r="R4" s="6"/>
    </row>
    <row r="5" customFormat="false" ht="15" hidden="false" customHeight="false" outlineLevel="0" collapsed="false">
      <c r="A5" s="5" t="s">
        <v>73</v>
      </c>
      <c r="B5" s="5" t="s">
        <v>74</v>
      </c>
      <c r="C5" s="6"/>
      <c r="D5" s="6" t="n">
        <v>5</v>
      </c>
      <c r="E5" s="6" t="n">
        <v>5</v>
      </c>
      <c r="F5" s="6"/>
      <c r="G5" s="6"/>
      <c r="H5" s="6"/>
      <c r="I5" s="6"/>
      <c r="J5" s="6"/>
      <c r="K5" s="6"/>
      <c r="L5" s="6"/>
      <c r="M5" s="6"/>
      <c r="N5" s="6"/>
      <c r="O5" s="6" t="n">
        <v>3</v>
      </c>
      <c r="P5" s="6" t="n">
        <v>3</v>
      </c>
      <c r="Q5" s="6"/>
      <c r="R5" s="6"/>
    </row>
    <row r="6" customFormat="false" ht="15" hidden="false" customHeight="false" outlineLevel="0" collapsed="false">
      <c r="A6" s="5" t="s">
        <v>80</v>
      </c>
      <c r="B6" s="5" t="s">
        <v>81</v>
      </c>
      <c r="C6" s="6"/>
      <c r="D6" s="6" t="n">
        <v>5</v>
      </c>
      <c r="E6" s="6" t="n">
        <v>5</v>
      </c>
      <c r="F6" s="6" t="n">
        <v>5</v>
      </c>
      <c r="G6" s="6" t="n">
        <v>3</v>
      </c>
      <c r="H6" s="6"/>
      <c r="I6" s="6" t="n">
        <v>2</v>
      </c>
      <c r="J6" s="6" t="n">
        <v>2</v>
      </c>
      <c r="K6" s="6"/>
      <c r="L6" s="6"/>
      <c r="M6" s="6"/>
      <c r="N6" s="6"/>
      <c r="O6" s="6"/>
      <c r="P6" s="6"/>
      <c r="Q6" s="6"/>
      <c r="R6" s="6"/>
    </row>
    <row r="7" customFormat="false" ht="15" hidden="false" customHeight="false" outlineLevel="0" collapsed="false">
      <c r="A7" s="5" t="s">
        <v>90</v>
      </c>
      <c r="B7" s="5" t="s">
        <v>91</v>
      </c>
      <c r="C7" s="6" t="n">
        <v>2</v>
      </c>
      <c r="D7" s="6"/>
      <c r="E7" s="6"/>
      <c r="F7" s="6"/>
      <c r="G7" s="6"/>
      <c r="H7" s="6" t="n">
        <v>4</v>
      </c>
      <c r="I7" s="6" t="n">
        <v>4</v>
      </c>
      <c r="J7" s="6" t="n">
        <v>5</v>
      </c>
      <c r="K7" s="6" t="n">
        <v>2</v>
      </c>
      <c r="L7" s="6"/>
      <c r="M7" s="6"/>
      <c r="N7" s="6"/>
      <c r="O7" s="6"/>
      <c r="P7" s="6"/>
      <c r="Q7" s="6"/>
      <c r="R7" s="6" t="n">
        <v>4</v>
      </c>
    </row>
    <row r="8" customFormat="false" ht="15" hidden="false" customHeight="false" outlineLevel="0" collapsed="false">
      <c r="A8" s="5" t="s">
        <v>102</v>
      </c>
      <c r="B8" s="5" t="s">
        <v>103</v>
      </c>
      <c r="C8" s="6" t="n">
        <v>3</v>
      </c>
      <c r="D8" s="6"/>
      <c r="E8" s="6"/>
      <c r="F8" s="6" t="n">
        <v>3</v>
      </c>
      <c r="G8" s="6" t="n">
        <v>3</v>
      </c>
      <c r="H8" s="6" t="n">
        <v>3</v>
      </c>
      <c r="I8" s="6" t="n">
        <v>2</v>
      </c>
      <c r="J8" s="6"/>
      <c r="K8" s="6"/>
      <c r="L8" s="6" t="n">
        <v>2</v>
      </c>
      <c r="M8" s="6"/>
      <c r="N8" s="6"/>
      <c r="O8" s="6"/>
      <c r="P8" s="6" t="n">
        <v>1</v>
      </c>
      <c r="Q8" s="6"/>
      <c r="R8" s="6"/>
    </row>
    <row r="9" customFormat="false" ht="15" hidden="false" customHeight="false" outlineLevel="0" collapsed="false">
      <c r="A9" s="5" t="s">
        <v>110</v>
      </c>
      <c r="B9" s="5" t="s">
        <v>111</v>
      </c>
      <c r="C9" s="6"/>
      <c r="D9" s="6" t="n">
        <v>5</v>
      </c>
      <c r="E9" s="6" t="n">
        <v>5</v>
      </c>
      <c r="F9" s="6"/>
      <c r="G9" s="6"/>
      <c r="H9" s="6"/>
      <c r="I9" s="6"/>
      <c r="J9" s="6"/>
      <c r="K9" s="6"/>
      <c r="L9" s="6"/>
      <c r="M9" s="6" t="n">
        <v>2</v>
      </c>
      <c r="N9" s="6"/>
      <c r="O9" s="6" t="n">
        <v>3</v>
      </c>
      <c r="P9" s="6" t="n">
        <v>3</v>
      </c>
      <c r="Q9" s="6"/>
      <c r="R9" s="6"/>
    </row>
    <row r="10" customFormat="false" ht="15" hidden="false" customHeight="false" outlineLevel="0" collapsed="false">
      <c r="A10" s="5" t="s">
        <v>117</v>
      </c>
      <c r="B10" s="5" t="s">
        <v>96</v>
      </c>
      <c r="C10" s="6" t="n">
        <v>2</v>
      </c>
      <c r="D10" s="6"/>
      <c r="E10" s="6"/>
      <c r="F10" s="6"/>
      <c r="G10" s="6"/>
      <c r="H10" s="6" t="n">
        <v>3</v>
      </c>
      <c r="I10" s="6" t="n">
        <v>3</v>
      </c>
      <c r="J10" s="6" t="n">
        <v>5</v>
      </c>
      <c r="K10" s="6"/>
      <c r="L10" s="6"/>
      <c r="M10" s="6"/>
      <c r="N10" s="6"/>
      <c r="O10" s="6"/>
      <c r="P10" s="6"/>
      <c r="Q10" s="6"/>
      <c r="R10" s="6" t="n">
        <v>3</v>
      </c>
    </row>
    <row r="11" customFormat="false" ht="15" hidden="false" customHeight="false" outlineLevel="0" collapsed="false">
      <c r="A11" s="5" t="s">
        <v>125</v>
      </c>
      <c r="B11" s="5" t="s">
        <v>65</v>
      </c>
      <c r="C11" s="6" t="n">
        <v>3</v>
      </c>
      <c r="D11" s="6"/>
      <c r="E11" s="6"/>
      <c r="F11" s="6" t="n">
        <v>4</v>
      </c>
      <c r="G11" s="6" t="n">
        <v>3</v>
      </c>
      <c r="H11" s="6" t="n">
        <v>2</v>
      </c>
      <c r="I11" s="6" t="n">
        <v>3</v>
      </c>
      <c r="J11" s="6"/>
      <c r="K11" s="6"/>
      <c r="L11" s="6"/>
      <c r="M11" s="6"/>
      <c r="N11" s="6"/>
      <c r="O11" s="6"/>
      <c r="P11" s="6" t="n">
        <v>2</v>
      </c>
      <c r="Q11" s="6"/>
      <c r="R11" s="6"/>
    </row>
    <row r="12" customFormat="false" ht="15" hidden="false" customHeight="false" outlineLevel="0" collapsed="false">
      <c r="A12" s="5" t="s">
        <v>132</v>
      </c>
      <c r="B12" s="5" t="s">
        <v>133</v>
      </c>
      <c r="C12" s="6" t="n">
        <v>4</v>
      </c>
      <c r="D12" s="6"/>
      <c r="E12" s="6"/>
      <c r="F12" s="6"/>
      <c r="G12" s="6" t="n">
        <v>4</v>
      </c>
      <c r="H12" s="6"/>
      <c r="I12" s="6"/>
      <c r="J12" s="6"/>
      <c r="K12" s="6" t="n">
        <v>4</v>
      </c>
      <c r="L12" s="6" t="n">
        <v>3</v>
      </c>
      <c r="M12" s="6" t="n">
        <v>3</v>
      </c>
      <c r="N12" s="6"/>
      <c r="O12" s="6"/>
      <c r="P12" s="6"/>
      <c r="Q12" s="6"/>
      <c r="R12" s="6"/>
    </row>
    <row r="13" customFormat="false" ht="15" hidden="false" customHeight="false" outlineLevel="0" collapsed="false">
      <c r="A13" s="5" t="s">
        <v>143</v>
      </c>
      <c r="B13" s="5" t="s">
        <v>144</v>
      </c>
      <c r="C13" s="6" t="n">
        <v>5</v>
      </c>
      <c r="D13" s="6"/>
      <c r="E13" s="6"/>
      <c r="F13" s="6"/>
      <c r="G13" s="6"/>
      <c r="H13" s="6" t="n">
        <v>2</v>
      </c>
      <c r="I13" s="6" t="n">
        <v>3</v>
      </c>
      <c r="J13" s="6"/>
      <c r="K13" s="6" t="n">
        <v>3</v>
      </c>
      <c r="L13" s="6"/>
      <c r="M13" s="6" t="n">
        <v>5</v>
      </c>
      <c r="N13" s="6"/>
      <c r="O13" s="6"/>
      <c r="P13" s="6"/>
      <c r="Q13" s="6"/>
      <c r="R13" s="6"/>
    </row>
    <row r="14" customFormat="false" ht="15" hidden="false" customHeight="false" outlineLevel="0" collapsed="false">
      <c r="A14" s="5" t="s">
        <v>157</v>
      </c>
      <c r="B14" s="5" t="s">
        <v>158</v>
      </c>
      <c r="C14" s="6"/>
      <c r="D14" s="6" t="n">
        <v>4</v>
      </c>
      <c r="E14" s="6" t="n">
        <v>4</v>
      </c>
      <c r="F14" s="6" t="n">
        <v>4</v>
      </c>
      <c r="G14" s="6" t="n">
        <v>2</v>
      </c>
      <c r="H14" s="6"/>
      <c r="I14" s="6" t="n">
        <v>2</v>
      </c>
      <c r="J14" s="6"/>
      <c r="K14" s="6"/>
      <c r="L14" s="6"/>
      <c r="M14" s="6"/>
      <c r="N14" s="6"/>
      <c r="O14" s="6"/>
      <c r="P14" s="6" t="n">
        <v>2</v>
      </c>
      <c r="Q14" s="6"/>
      <c r="R14" s="6"/>
    </row>
    <row r="15" customFormat="false" ht="15" hidden="false" customHeight="false" outlineLevel="0" collapsed="false">
      <c r="A15" s="5" t="s">
        <v>166</v>
      </c>
      <c r="B15" s="5" t="s">
        <v>43</v>
      </c>
      <c r="C15" s="6" t="n">
        <v>3</v>
      </c>
      <c r="D15" s="6" t="n">
        <v>3</v>
      </c>
      <c r="E15" s="6"/>
      <c r="F15" s="6"/>
      <c r="G15" s="6" t="n">
        <v>2</v>
      </c>
      <c r="H15" s="6"/>
      <c r="I15" s="6"/>
      <c r="J15" s="6"/>
      <c r="K15" s="6"/>
      <c r="L15" s="6"/>
      <c r="M15" s="6"/>
      <c r="N15" s="6"/>
      <c r="O15" s="6"/>
      <c r="P15" s="6" t="n">
        <v>4</v>
      </c>
      <c r="Q15" s="6"/>
      <c r="R15" s="6"/>
    </row>
    <row r="16" customFormat="false" ht="15" hidden="false" customHeight="false" outlineLevel="0" collapsed="false">
      <c r="A16" s="5" t="s">
        <v>174</v>
      </c>
      <c r="B16" s="5" t="s">
        <v>175</v>
      </c>
      <c r="C16" s="6" t="n">
        <v>4</v>
      </c>
      <c r="D16" s="6"/>
      <c r="E16" s="6"/>
      <c r="F16" s="6"/>
      <c r="G16" s="6" t="n">
        <v>3</v>
      </c>
      <c r="H16" s="6"/>
      <c r="I16" s="6"/>
      <c r="J16" s="6"/>
      <c r="K16" s="6" t="n">
        <v>3</v>
      </c>
      <c r="L16" s="6"/>
      <c r="M16" s="6" t="n">
        <v>3</v>
      </c>
      <c r="N16" s="6" t="n">
        <v>2</v>
      </c>
      <c r="O16" s="6"/>
      <c r="P16" s="6"/>
      <c r="Q16" s="6"/>
      <c r="R16" s="6"/>
    </row>
    <row r="17" customFormat="false" ht="15" hidden="false" customHeight="false" outlineLevel="0" collapsed="false">
      <c r="A17" s="5" t="s">
        <v>182</v>
      </c>
      <c r="B17" s="5" t="s">
        <v>183</v>
      </c>
      <c r="C17" s="6" t="n">
        <v>5</v>
      </c>
      <c r="D17" s="6"/>
      <c r="E17" s="6"/>
      <c r="F17" s="6" t="n">
        <v>2</v>
      </c>
      <c r="G17" s="6" t="n">
        <v>4</v>
      </c>
      <c r="H17" s="6" t="n">
        <v>4</v>
      </c>
      <c r="I17" s="6" t="n">
        <v>2</v>
      </c>
      <c r="J17" s="6"/>
      <c r="K17" s="6"/>
      <c r="L17" s="6"/>
      <c r="M17" s="6"/>
      <c r="N17" s="6"/>
      <c r="O17" s="6"/>
      <c r="P17" s="6" t="n">
        <v>2</v>
      </c>
      <c r="Q17" s="6"/>
      <c r="R17" s="6"/>
    </row>
    <row r="18" customFormat="false" ht="15" hidden="false" customHeight="false" outlineLevel="0" collapsed="false">
      <c r="A18" s="5" t="s">
        <v>190</v>
      </c>
      <c r="B18" s="5" t="s">
        <v>191</v>
      </c>
      <c r="C18" s="6" t="n">
        <v>4</v>
      </c>
      <c r="D18" s="6"/>
      <c r="E18" s="6"/>
      <c r="F18" s="6"/>
      <c r="G18" s="6"/>
      <c r="H18" s="6" t="n">
        <v>3</v>
      </c>
      <c r="I18" s="6" t="n">
        <v>4</v>
      </c>
      <c r="J18" s="6"/>
      <c r="K18" s="6" t="n">
        <v>3</v>
      </c>
      <c r="L18" s="6"/>
      <c r="M18" s="6" t="n">
        <v>5</v>
      </c>
      <c r="N18" s="6"/>
      <c r="O18" s="6"/>
      <c r="P18" s="6"/>
      <c r="Q18" s="6"/>
      <c r="R18" s="6"/>
    </row>
    <row r="19" customFormat="false" ht="15" hidden="false" customHeight="false" outlineLevel="0" collapsed="false">
      <c r="A19" s="5" t="s">
        <v>199</v>
      </c>
      <c r="B19" s="5" t="s">
        <v>200</v>
      </c>
      <c r="C19" s="6"/>
      <c r="D19" s="6" t="n">
        <v>3</v>
      </c>
      <c r="E19" s="6" t="n">
        <v>2</v>
      </c>
      <c r="F19" s="6"/>
      <c r="G19" s="6"/>
      <c r="H19" s="6"/>
      <c r="I19" s="6"/>
      <c r="J19" s="6" t="n">
        <v>1</v>
      </c>
      <c r="K19" s="6"/>
      <c r="L19" s="6"/>
      <c r="M19" s="6"/>
      <c r="N19" s="6"/>
      <c r="O19" s="6" t="n">
        <v>5</v>
      </c>
      <c r="P19" s="6"/>
      <c r="Q19" s="6"/>
      <c r="R19" s="6"/>
    </row>
    <row r="20" customFormat="false" ht="15" hidden="false" customHeight="false" outlineLevel="0" collapsed="false">
      <c r="A20" s="5" t="s">
        <v>209</v>
      </c>
      <c r="B20" s="5" t="s">
        <v>210</v>
      </c>
      <c r="C20" s="6"/>
      <c r="D20" s="6" t="n">
        <v>3</v>
      </c>
      <c r="E20" s="6" t="n">
        <v>4</v>
      </c>
      <c r="F20" s="6" t="n">
        <v>3</v>
      </c>
      <c r="G20" s="6" t="n">
        <v>4</v>
      </c>
      <c r="H20" s="6"/>
      <c r="I20" s="6" t="n">
        <v>3</v>
      </c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false" outlineLevel="0" collapsed="false">
      <c r="A21" s="5" t="s">
        <v>216</v>
      </c>
      <c r="B21" s="5" t="s">
        <v>217</v>
      </c>
      <c r="C21" s="6" t="n">
        <v>2</v>
      </c>
      <c r="D21" s="6" t="n">
        <v>2</v>
      </c>
      <c r="E21" s="6"/>
      <c r="F21" s="6"/>
      <c r="G21" s="6"/>
      <c r="H21" s="6" t="n">
        <v>3</v>
      </c>
      <c r="I21" s="6" t="n">
        <v>3</v>
      </c>
      <c r="J21" s="6" t="n">
        <v>5</v>
      </c>
      <c r="K21" s="6"/>
      <c r="L21" s="6"/>
      <c r="M21" s="6"/>
      <c r="N21" s="6"/>
      <c r="O21" s="6"/>
      <c r="P21" s="6"/>
      <c r="Q21" s="6"/>
      <c r="R21" s="6" t="n">
        <v>3</v>
      </c>
    </row>
    <row r="22" customFormat="false" ht="15" hidden="false" customHeight="false" outlineLevel="0" collapsed="false">
      <c r="A22" s="5" t="s">
        <v>223</v>
      </c>
      <c r="B22" s="5" t="s">
        <v>224</v>
      </c>
      <c r="C22" s="6"/>
      <c r="D22" s="6" t="n">
        <v>3</v>
      </c>
      <c r="E22" s="6" t="n">
        <v>4</v>
      </c>
      <c r="F22" s="6" t="n">
        <v>5</v>
      </c>
      <c r="G22" s="6" t="n">
        <v>3</v>
      </c>
      <c r="H22" s="6"/>
      <c r="I22" s="6" t="n">
        <v>2</v>
      </c>
      <c r="J22" s="6"/>
      <c r="K22" s="6" t="n">
        <v>1</v>
      </c>
      <c r="L22" s="6"/>
      <c r="M22" s="6"/>
      <c r="N22" s="6"/>
      <c r="O22" s="6"/>
      <c r="P22" s="6"/>
      <c r="Q22" s="6"/>
      <c r="R22" s="6"/>
    </row>
    <row r="23" customFormat="false" ht="15" hidden="false" customHeight="false" outlineLevel="0" collapsed="false">
      <c r="A23" s="5" t="s">
        <v>231</v>
      </c>
      <c r="B23" s="5" t="s">
        <v>232</v>
      </c>
      <c r="C23" s="6" t="n">
        <v>4</v>
      </c>
      <c r="D23" s="6"/>
      <c r="E23" s="6"/>
      <c r="F23" s="6" t="n">
        <v>4</v>
      </c>
      <c r="G23" s="6" t="n">
        <v>4</v>
      </c>
      <c r="H23" s="6" t="n">
        <v>3</v>
      </c>
      <c r="I23" s="6" t="n">
        <v>2</v>
      </c>
      <c r="J23" s="6"/>
      <c r="K23" s="6"/>
      <c r="L23" s="6"/>
      <c r="M23" s="6"/>
      <c r="N23" s="6"/>
      <c r="O23" s="6"/>
      <c r="P23" s="6" t="n">
        <v>2</v>
      </c>
      <c r="Q23" s="6"/>
      <c r="R23" s="6"/>
    </row>
    <row r="24" customFormat="false" ht="15" hidden="false" customHeight="false" outlineLevel="0" collapsed="false">
      <c r="A24" s="5" t="s">
        <v>238</v>
      </c>
      <c r="B24" s="5" t="s">
        <v>239</v>
      </c>
      <c r="C24" s="6" t="n">
        <v>4</v>
      </c>
      <c r="D24" s="6" t="n">
        <v>1</v>
      </c>
      <c r="E24" s="6"/>
      <c r="F24" s="6"/>
      <c r="G24" s="6"/>
      <c r="H24" s="6" t="n">
        <v>4</v>
      </c>
      <c r="I24" s="6" t="n">
        <v>3</v>
      </c>
      <c r="J24" s="6"/>
      <c r="K24" s="6" t="n">
        <v>3</v>
      </c>
      <c r="L24" s="6"/>
      <c r="M24" s="6" t="n">
        <v>4</v>
      </c>
      <c r="N24" s="6"/>
      <c r="O24" s="6"/>
      <c r="P24" s="6"/>
      <c r="Q24" s="6"/>
      <c r="R24" s="6"/>
    </row>
    <row r="25" customFormat="false" ht="15" hidden="false" customHeight="false" outlineLevel="0" collapsed="false">
      <c r="A25" s="5" t="s">
        <v>245</v>
      </c>
      <c r="B25" s="5" t="s">
        <v>246</v>
      </c>
      <c r="C25" s="6"/>
      <c r="D25" s="6" t="n">
        <v>4</v>
      </c>
      <c r="E25" s="6" t="n">
        <v>5</v>
      </c>
      <c r="F25" s="6" t="n">
        <v>3</v>
      </c>
      <c r="G25" s="6" t="n">
        <v>3</v>
      </c>
      <c r="H25" s="6"/>
      <c r="I25" s="6" t="n">
        <v>3</v>
      </c>
      <c r="J25" s="6"/>
      <c r="K25" s="6"/>
      <c r="L25" s="6"/>
      <c r="M25" s="6"/>
      <c r="N25" s="6"/>
      <c r="O25" s="6"/>
      <c r="P25" s="6"/>
      <c r="Q25" s="6"/>
      <c r="R25" s="6"/>
    </row>
    <row r="26" customFormat="false" ht="15" hidden="false" customHeight="false" outlineLevel="0" collapsed="false">
      <c r="A26" s="5" t="s">
        <v>252</v>
      </c>
      <c r="B26" s="5" t="s">
        <v>253</v>
      </c>
      <c r="C26" s="6"/>
      <c r="D26" s="6" t="n">
        <v>4</v>
      </c>
      <c r="E26" s="6" t="n">
        <v>5</v>
      </c>
      <c r="F26" s="6"/>
      <c r="G26" s="6"/>
      <c r="H26" s="6"/>
      <c r="I26" s="6"/>
      <c r="J26" s="6"/>
      <c r="K26" s="6"/>
      <c r="L26" s="6"/>
      <c r="M26" s="6"/>
      <c r="N26" s="6"/>
      <c r="O26" s="6" t="n">
        <v>2</v>
      </c>
      <c r="P26" s="6" t="n">
        <v>2</v>
      </c>
      <c r="Q26" s="6"/>
      <c r="R26" s="6"/>
    </row>
    <row r="27" customFormat="false" ht="15" hidden="false" customHeight="false" outlineLevel="0" collapsed="false">
      <c r="A27" s="5" t="s">
        <v>259</v>
      </c>
      <c r="B27" s="5" t="s">
        <v>260</v>
      </c>
      <c r="C27" s="6" t="n">
        <v>5</v>
      </c>
      <c r="D27" s="6" t="n">
        <v>2</v>
      </c>
      <c r="E27" s="6"/>
      <c r="F27" s="6"/>
      <c r="G27" s="6"/>
      <c r="H27" s="6" t="n">
        <v>4</v>
      </c>
      <c r="I27" s="6" t="n">
        <v>2</v>
      </c>
      <c r="J27" s="6"/>
      <c r="K27" s="6" t="n">
        <v>4</v>
      </c>
      <c r="L27" s="6"/>
      <c r="M27" s="6" t="n">
        <v>4</v>
      </c>
      <c r="N27" s="6"/>
      <c r="O27" s="6"/>
      <c r="P27" s="6"/>
      <c r="Q27" s="6"/>
      <c r="R27" s="6"/>
    </row>
    <row r="28" customFormat="false" ht="15" hidden="false" customHeight="false" outlineLevel="0" collapsed="false">
      <c r="A28" s="5" t="s">
        <v>267</v>
      </c>
      <c r="B28" s="5" t="s">
        <v>268</v>
      </c>
      <c r="C28" s="6"/>
      <c r="D28" s="6" t="n">
        <v>3</v>
      </c>
      <c r="E28" s="6" t="n">
        <v>5</v>
      </c>
      <c r="F28" s="6"/>
      <c r="G28" s="6"/>
      <c r="H28" s="6"/>
      <c r="I28" s="6"/>
      <c r="J28" s="6"/>
      <c r="K28" s="6"/>
      <c r="L28" s="6"/>
      <c r="M28" s="6"/>
      <c r="N28" s="6"/>
      <c r="O28" s="6" t="n">
        <v>4</v>
      </c>
      <c r="P28" s="6" t="n">
        <v>4</v>
      </c>
      <c r="Q28" s="6"/>
      <c r="R28" s="6"/>
    </row>
    <row r="29" customFormat="false" ht="15" hidden="false" customHeight="false" outlineLevel="0" collapsed="false">
      <c r="A29" s="5" t="s">
        <v>275</v>
      </c>
      <c r="B29" s="5" t="s">
        <v>276</v>
      </c>
      <c r="C29" s="6"/>
      <c r="D29" s="6" t="n">
        <v>5</v>
      </c>
      <c r="E29" s="6" t="n">
        <v>5</v>
      </c>
      <c r="F29" s="6"/>
      <c r="G29" s="6" t="n">
        <v>1</v>
      </c>
      <c r="H29" s="6"/>
      <c r="I29" s="6"/>
      <c r="J29" s="6"/>
      <c r="K29" s="6"/>
      <c r="L29" s="6"/>
      <c r="M29" s="6"/>
      <c r="N29" s="6"/>
      <c r="O29" s="6" t="n">
        <v>2</v>
      </c>
      <c r="P29" s="6" t="n">
        <v>3</v>
      </c>
      <c r="Q29" s="6"/>
      <c r="R29" s="6"/>
    </row>
    <row r="30" customFormat="false" ht="15" hidden="false" customHeight="false" outlineLevel="0" collapsed="false">
      <c r="A30" s="5" t="s">
        <v>282</v>
      </c>
      <c r="B30" s="5" t="s">
        <v>283</v>
      </c>
      <c r="C30" s="6" t="n">
        <v>3</v>
      </c>
      <c r="D30" s="6"/>
      <c r="E30" s="6"/>
      <c r="F30" s="6" t="n">
        <v>4</v>
      </c>
      <c r="G30" s="6" t="n">
        <v>5</v>
      </c>
      <c r="H30" s="6" t="n">
        <v>3</v>
      </c>
      <c r="I30" s="6" t="n">
        <v>4</v>
      </c>
      <c r="J30" s="6"/>
      <c r="K30" s="6" t="n">
        <v>1</v>
      </c>
      <c r="L30" s="6"/>
      <c r="M30" s="6"/>
      <c r="N30" s="6"/>
      <c r="O30" s="6"/>
      <c r="P30" s="6" t="n">
        <v>3</v>
      </c>
      <c r="Q30" s="6"/>
      <c r="R30" s="6"/>
    </row>
    <row r="31" customFormat="false" ht="15" hidden="false" customHeight="false" outlineLevel="0" collapsed="false">
      <c r="A31" s="5" t="s">
        <v>290</v>
      </c>
      <c r="B31" s="5" t="s">
        <v>291</v>
      </c>
      <c r="C31" s="6"/>
      <c r="D31" s="6" t="n">
        <v>4</v>
      </c>
      <c r="E31" s="6" t="n">
        <v>4</v>
      </c>
      <c r="F31" s="6" t="n">
        <v>3</v>
      </c>
      <c r="G31" s="6" t="n">
        <v>4</v>
      </c>
      <c r="H31" s="6"/>
      <c r="I31" s="6" t="n">
        <v>1</v>
      </c>
      <c r="J31" s="6"/>
      <c r="K31" s="6" t="n">
        <v>2</v>
      </c>
      <c r="L31" s="6"/>
      <c r="M31" s="6"/>
      <c r="N31" s="6"/>
      <c r="O31" s="6"/>
      <c r="P31" s="6"/>
      <c r="Q31" s="6"/>
      <c r="R31" s="6"/>
    </row>
    <row r="32" customFormat="false" ht="15" hidden="false" customHeight="false" outlineLevel="0" collapsed="false">
      <c r="A32" s="5" t="s">
        <v>296</v>
      </c>
      <c r="B32" s="5" t="s">
        <v>297</v>
      </c>
      <c r="C32" s="6"/>
      <c r="D32" s="6" t="n">
        <v>5</v>
      </c>
      <c r="E32" s="6" t="n">
        <v>4</v>
      </c>
      <c r="F32" s="6" t="n">
        <v>3</v>
      </c>
      <c r="G32" s="6" t="n">
        <v>2</v>
      </c>
      <c r="H32" s="6"/>
      <c r="I32" s="6" t="n">
        <v>2</v>
      </c>
      <c r="J32" s="6"/>
      <c r="K32" s="6"/>
      <c r="L32" s="6"/>
      <c r="M32" s="6" t="n">
        <v>2</v>
      </c>
      <c r="N32" s="6"/>
      <c r="O32" s="6"/>
      <c r="P32" s="6"/>
      <c r="Q32" s="6"/>
      <c r="R32" s="6"/>
    </row>
    <row r="33" customFormat="false" ht="15" hidden="false" customHeight="false" outlineLevel="0" collapsed="false">
      <c r="A33" s="5" t="s">
        <v>303</v>
      </c>
      <c r="B33" s="5" t="s">
        <v>304</v>
      </c>
      <c r="C33" s="6"/>
      <c r="D33" s="6" t="n">
        <v>3</v>
      </c>
      <c r="E33" s="6"/>
      <c r="F33" s="6"/>
      <c r="G33" s="6" t="n">
        <v>2</v>
      </c>
      <c r="H33" s="6"/>
      <c r="I33" s="6"/>
      <c r="J33" s="6"/>
      <c r="K33" s="6"/>
      <c r="L33" s="6"/>
      <c r="M33" s="6"/>
      <c r="N33" s="6"/>
      <c r="O33" s="6"/>
      <c r="P33" s="6" t="n">
        <v>5</v>
      </c>
      <c r="Q33" s="6"/>
      <c r="R33" s="6"/>
    </row>
    <row r="34" customFormat="false" ht="15" hidden="false" customHeight="false" outlineLevel="0" collapsed="false">
      <c r="A34" s="5" t="s">
        <v>308</v>
      </c>
      <c r="B34" s="5" t="s">
        <v>309</v>
      </c>
      <c r="C34" s="6"/>
      <c r="D34" s="6"/>
      <c r="E34" s="6"/>
      <c r="F34" s="6"/>
      <c r="G34" s="6"/>
      <c r="H34" s="6"/>
      <c r="I34" s="6"/>
      <c r="J34" s="6"/>
      <c r="K34" s="6" t="n">
        <v>1</v>
      </c>
      <c r="L34" s="6" t="n">
        <v>3</v>
      </c>
      <c r="M34" s="6"/>
      <c r="N34" s="6"/>
      <c r="O34" s="6"/>
      <c r="P34" s="6"/>
      <c r="Q34" s="6" t="n">
        <v>5</v>
      </c>
      <c r="R34" s="6"/>
    </row>
    <row r="35" customFormat="false" ht="15" hidden="false" customHeight="false" outlineLevel="0" collapsed="false">
      <c r="A35" s="5" t="s">
        <v>316</v>
      </c>
      <c r="B35" s="5" t="s">
        <v>317</v>
      </c>
      <c r="C35" s="6" t="n">
        <v>3</v>
      </c>
      <c r="D35" s="6"/>
      <c r="E35" s="6"/>
      <c r="F35" s="6"/>
      <c r="G35" s="6"/>
      <c r="H35" s="6" t="n">
        <v>5</v>
      </c>
      <c r="I35" s="6" t="n">
        <v>4</v>
      </c>
      <c r="J35" s="6" t="n">
        <v>5</v>
      </c>
      <c r="K35" s="6"/>
      <c r="L35" s="6"/>
      <c r="M35" s="6"/>
      <c r="N35" s="6"/>
      <c r="O35" s="6"/>
      <c r="P35" s="6" t="n">
        <v>1</v>
      </c>
      <c r="Q35" s="6"/>
      <c r="R35" s="6" t="n">
        <v>3</v>
      </c>
    </row>
    <row r="36" customFormat="false" ht="15" hidden="false" customHeight="false" outlineLevel="0" collapsed="false">
      <c r="A36" s="5" t="s">
        <v>323</v>
      </c>
      <c r="B36" s="5" t="s">
        <v>324</v>
      </c>
      <c r="C36" s="6" t="n">
        <v>3</v>
      </c>
      <c r="D36" s="6"/>
      <c r="E36" s="6"/>
      <c r="F36" s="6"/>
      <c r="G36" s="6" t="n">
        <v>5</v>
      </c>
      <c r="H36" s="6"/>
      <c r="I36" s="6"/>
      <c r="J36" s="6"/>
      <c r="K36" s="6" t="n">
        <v>4</v>
      </c>
      <c r="L36" s="6" t="n">
        <v>5</v>
      </c>
      <c r="M36" s="6"/>
      <c r="N36" s="6"/>
      <c r="O36" s="6"/>
      <c r="P36" s="6"/>
      <c r="Q36" s="6"/>
      <c r="R36" s="6"/>
    </row>
    <row r="37" customFormat="false" ht="15" hidden="false" customHeight="false" outlineLevel="0" collapsed="false">
      <c r="A37" s="5" t="s">
        <v>331</v>
      </c>
      <c r="B37" s="5" t="s">
        <v>332</v>
      </c>
      <c r="C37" s="6"/>
      <c r="D37" s="6" t="n">
        <v>1</v>
      </c>
      <c r="E37" s="6" t="n">
        <v>2</v>
      </c>
      <c r="F37" s="6"/>
      <c r="G37" s="6"/>
      <c r="H37" s="6"/>
      <c r="I37" s="6"/>
      <c r="J37" s="6"/>
      <c r="K37" s="6"/>
      <c r="L37" s="6"/>
      <c r="M37" s="6" t="n">
        <v>1</v>
      </c>
      <c r="N37" s="6"/>
      <c r="O37" s="6" t="n">
        <v>5</v>
      </c>
      <c r="P37" s="6"/>
      <c r="Q37" s="6"/>
      <c r="R37" s="6"/>
    </row>
    <row r="38" customFormat="false" ht="15" hidden="false" customHeight="false" outlineLevel="0" collapsed="false">
      <c r="A38" s="5" t="s">
        <v>338</v>
      </c>
      <c r="B38" s="5" t="s">
        <v>339</v>
      </c>
      <c r="C38" s="6" t="n">
        <v>4</v>
      </c>
      <c r="D38" s="6"/>
      <c r="E38" s="6"/>
      <c r="F38" s="6"/>
      <c r="G38" s="6"/>
      <c r="H38" s="6" t="n">
        <v>5</v>
      </c>
      <c r="I38" s="6" t="n">
        <v>3</v>
      </c>
      <c r="J38" s="6" t="n">
        <v>5</v>
      </c>
      <c r="K38" s="6"/>
      <c r="L38" s="6"/>
      <c r="M38" s="6"/>
      <c r="N38" s="6"/>
      <c r="O38" s="6"/>
      <c r="P38" s="6"/>
      <c r="Q38" s="6"/>
      <c r="R38" s="6" t="n">
        <v>3</v>
      </c>
    </row>
    <row r="39" customFormat="false" ht="15" hidden="false" customHeight="false" outlineLevel="0" collapsed="false">
      <c r="A39" s="5" t="s">
        <v>347</v>
      </c>
      <c r="B39" s="5" t="s">
        <v>348</v>
      </c>
      <c r="C39" s="6" t="n">
        <v>2</v>
      </c>
      <c r="D39" s="6"/>
      <c r="E39" s="6"/>
      <c r="F39" s="6"/>
      <c r="G39" s="6"/>
      <c r="H39" s="6" t="n">
        <v>5</v>
      </c>
      <c r="I39" s="6" t="n">
        <v>5</v>
      </c>
      <c r="J39" s="6" t="n">
        <v>5</v>
      </c>
      <c r="K39" s="6"/>
      <c r="L39" s="6"/>
      <c r="M39" s="6" t="n">
        <v>2</v>
      </c>
      <c r="N39" s="6"/>
      <c r="O39" s="6"/>
      <c r="P39" s="6"/>
      <c r="Q39" s="6"/>
      <c r="R39" s="6" t="n">
        <v>2</v>
      </c>
    </row>
    <row r="40" customFormat="false" ht="15" hidden="false" customHeight="false" outlineLevel="0" collapsed="false">
      <c r="A40" s="5" t="s">
        <v>355</v>
      </c>
      <c r="B40" s="5" t="s">
        <v>356</v>
      </c>
      <c r="C40" s="6"/>
      <c r="D40" s="6"/>
      <c r="E40" s="6"/>
      <c r="F40" s="6"/>
      <c r="G40" s="6"/>
      <c r="H40" s="6"/>
      <c r="I40" s="6"/>
      <c r="J40" s="6" t="n">
        <v>2</v>
      </c>
      <c r="K40" s="6" t="n">
        <v>1</v>
      </c>
      <c r="L40" s="6" t="n">
        <v>3</v>
      </c>
      <c r="M40" s="6"/>
      <c r="N40" s="6"/>
      <c r="O40" s="6"/>
      <c r="P40" s="6"/>
      <c r="Q40" s="6" t="n">
        <v>4</v>
      </c>
      <c r="R40" s="6"/>
    </row>
    <row r="41" customFormat="false" ht="15" hidden="false" customHeight="false" outlineLevel="0" collapsed="false">
      <c r="A41" s="5" t="s">
        <v>363</v>
      </c>
      <c r="B41" s="5" t="s">
        <v>364</v>
      </c>
      <c r="C41" s="6" t="n">
        <v>5</v>
      </c>
      <c r="D41" s="6"/>
      <c r="E41" s="6"/>
      <c r="F41" s="6" t="n">
        <v>3</v>
      </c>
      <c r="G41" s="6" t="n">
        <v>4</v>
      </c>
      <c r="H41" s="6" t="n">
        <v>3</v>
      </c>
      <c r="I41" s="6" t="n">
        <v>3</v>
      </c>
      <c r="J41" s="6" t="n">
        <v>2</v>
      </c>
      <c r="K41" s="6"/>
      <c r="L41" s="6"/>
      <c r="M41" s="6"/>
      <c r="N41" s="6"/>
      <c r="O41" s="6"/>
      <c r="P41" s="6" t="n">
        <v>2</v>
      </c>
      <c r="Q41" s="6"/>
      <c r="R41" s="6"/>
    </row>
    <row r="42" customFormat="false" ht="15" hidden="false" customHeight="false" outlineLevel="0" collapsed="false">
      <c r="A42" s="5" t="s">
        <v>371</v>
      </c>
      <c r="B42" s="5" t="s">
        <v>372</v>
      </c>
      <c r="C42" s="6"/>
      <c r="D42" s="6" t="n">
        <v>4</v>
      </c>
      <c r="E42" s="6" t="n">
        <v>5</v>
      </c>
      <c r="F42" s="6"/>
      <c r="G42" s="6"/>
      <c r="H42" s="6"/>
      <c r="I42" s="6"/>
      <c r="J42" s="6"/>
      <c r="K42" s="6"/>
      <c r="L42" s="6"/>
      <c r="M42" s="6"/>
      <c r="N42" s="6"/>
      <c r="O42" s="6" t="n">
        <v>4</v>
      </c>
      <c r="P42" s="6" t="n">
        <v>3</v>
      </c>
      <c r="Q42" s="6"/>
      <c r="R42" s="6"/>
    </row>
    <row r="43" customFormat="false" ht="15" hidden="false" customHeight="false" outlineLevel="0" collapsed="false">
      <c r="A43" s="5" t="s">
        <v>378</v>
      </c>
      <c r="B43" s="5" t="s">
        <v>379</v>
      </c>
      <c r="C43" s="6" t="n">
        <v>3</v>
      </c>
      <c r="D43" s="6"/>
      <c r="E43" s="6"/>
      <c r="F43" s="6"/>
      <c r="G43" s="6"/>
      <c r="H43" s="6" t="n">
        <v>4</v>
      </c>
      <c r="I43" s="6" t="n">
        <v>4</v>
      </c>
      <c r="J43" s="6" t="n">
        <v>3</v>
      </c>
      <c r="K43" s="6"/>
      <c r="L43" s="6"/>
      <c r="M43" s="6"/>
      <c r="N43" s="6"/>
      <c r="O43" s="6"/>
      <c r="P43" s="6"/>
      <c r="Q43" s="6"/>
      <c r="R43" s="6"/>
    </row>
    <row r="44" customFormat="false" ht="15" hidden="false" customHeight="false" outlineLevel="0" collapsed="false">
      <c r="A44" s="5" t="s">
        <v>385</v>
      </c>
      <c r="B44" s="5" t="s">
        <v>386</v>
      </c>
      <c r="C44" s="6" t="n">
        <v>3</v>
      </c>
      <c r="D44" s="6"/>
      <c r="E44" s="6"/>
      <c r="F44" s="6" t="n">
        <v>2</v>
      </c>
      <c r="G44" s="6" t="n">
        <v>3</v>
      </c>
      <c r="H44" s="6" t="n">
        <v>3</v>
      </c>
      <c r="I44" s="6" t="n">
        <v>2</v>
      </c>
      <c r="J44" s="6"/>
      <c r="K44" s="6"/>
      <c r="L44" s="6"/>
      <c r="M44" s="6"/>
      <c r="N44" s="6"/>
      <c r="O44" s="6"/>
      <c r="P44" s="6" t="n">
        <v>2</v>
      </c>
      <c r="Q44" s="6"/>
      <c r="R44" s="6"/>
    </row>
    <row r="45" customFormat="false" ht="15" hidden="false" customHeight="false" outlineLevel="0" collapsed="false">
      <c r="A45" s="5" t="s">
        <v>391</v>
      </c>
      <c r="B45" s="5" t="s">
        <v>392</v>
      </c>
      <c r="C45" s="6"/>
      <c r="D45" s="6" t="n">
        <v>4</v>
      </c>
      <c r="E45" s="6" t="n">
        <v>5</v>
      </c>
      <c r="F45" s="6"/>
      <c r="G45" s="6"/>
      <c r="H45" s="6"/>
      <c r="I45" s="6"/>
      <c r="J45" s="6"/>
      <c r="K45" s="6"/>
      <c r="L45" s="6"/>
      <c r="M45" s="6"/>
      <c r="N45" s="6"/>
      <c r="O45" s="6" t="n">
        <v>2</v>
      </c>
      <c r="P45" s="6" t="n">
        <v>2</v>
      </c>
      <c r="Q45" s="6"/>
      <c r="R45" s="6"/>
    </row>
    <row r="46" customFormat="false" ht="15" hidden="false" customHeight="false" outlineLevel="0" collapsed="false">
      <c r="A46" s="5" t="s">
        <v>396</v>
      </c>
      <c r="B46" s="5" t="s">
        <v>397</v>
      </c>
      <c r="C46" s="6" t="n">
        <v>2</v>
      </c>
      <c r="D46" s="6"/>
      <c r="E46" s="6"/>
      <c r="F46" s="6"/>
      <c r="G46" s="6" t="n">
        <v>5</v>
      </c>
      <c r="H46" s="6"/>
      <c r="I46" s="6"/>
      <c r="J46" s="6"/>
      <c r="K46" s="6" t="n">
        <v>5</v>
      </c>
      <c r="L46" s="6" t="n">
        <v>4</v>
      </c>
      <c r="M46" s="6"/>
      <c r="N46" s="6"/>
      <c r="O46" s="6"/>
      <c r="P46" s="6" t="n">
        <v>1</v>
      </c>
      <c r="Q46" s="6"/>
      <c r="R46" s="6"/>
    </row>
    <row r="47" customFormat="false" ht="15" hidden="false" customHeight="false" outlineLevel="0" collapsed="false">
      <c r="A47" s="5" t="s">
        <v>404</v>
      </c>
      <c r="B47" s="5" t="s">
        <v>405</v>
      </c>
      <c r="C47" s="6" t="n">
        <v>2</v>
      </c>
      <c r="D47" s="6"/>
      <c r="E47" s="6"/>
      <c r="F47" s="6"/>
      <c r="G47" s="6"/>
      <c r="H47" s="6" t="n">
        <v>3</v>
      </c>
      <c r="I47" s="6"/>
      <c r="J47" s="6" t="n">
        <v>4</v>
      </c>
      <c r="K47" s="6"/>
      <c r="L47" s="6"/>
      <c r="M47" s="6"/>
      <c r="N47" s="6"/>
      <c r="O47" s="6"/>
      <c r="P47" s="6"/>
      <c r="Q47" s="6"/>
      <c r="R47" s="6" t="n">
        <v>4</v>
      </c>
    </row>
    <row r="48" customFormat="false" ht="15" hidden="false" customHeight="false" outlineLevel="0" collapsed="false">
      <c r="A48" s="5" t="s">
        <v>411</v>
      </c>
      <c r="B48" s="5" t="s">
        <v>412</v>
      </c>
      <c r="C48" s="6" t="n">
        <v>4</v>
      </c>
      <c r="D48" s="6"/>
      <c r="E48" s="6"/>
      <c r="F48" s="6" t="n">
        <v>3</v>
      </c>
      <c r="G48" s="6" t="n">
        <v>3</v>
      </c>
      <c r="H48" s="6" t="n">
        <v>3</v>
      </c>
      <c r="I48" s="6" t="n">
        <v>4</v>
      </c>
      <c r="J48" s="6"/>
      <c r="K48" s="6"/>
      <c r="L48" s="6"/>
      <c r="M48" s="6"/>
      <c r="N48" s="6"/>
      <c r="O48" s="6"/>
      <c r="P48" s="6" t="n">
        <v>2</v>
      </c>
      <c r="Q48" s="6"/>
      <c r="R48" s="6" t="n">
        <v>1</v>
      </c>
    </row>
    <row r="49" customFormat="false" ht="15" hidden="false" customHeight="false" outlineLevel="0" collapsed="false">
      <c r="A49" s="5" t="s">
        <v>419</v>
      </c>
      <c r="B49" s="5" t="s">
        <v>420</v>
      </c>
      <c r="C49" s="6" t="n">
        <v>2</v>
      </c>
      <c r="D49" s="6"/>
      <c r="E49" s="6"/>
      <c r="F49" s="6"/>
      <c r="G49" s="6"/>
      <c r="H49" s="6" t="n">
        <v>5</v>
      </c>
      <c r="I49" s="6" t="n">
        <v>3</v>
      </c>
      <c r="J49" s="6" t="n">
        <v>5</v>
      </c>
      <c r="K49" s="6"/>
      <c r="L49" s="6"/>
      <c r="M49" s="6"/>
      <c r="N49" s="6"/>
      <c r="O49" s="6"/>
      <c r="P49" s="6"/>
      <c r="Q49" s="6"/>
      <c r="R49" s="6" t="n">
        <v>2</v>
      </c>
    </row>
    <row r="50" customFormat="false" ht="15" hidden="false" customHeight="false" outlineLevel="0" collapsed="false">
      <c r="A50" s="5" t="s">
        <v>425</v>
      </c>
      <c r="B50" s="5" t="s">
        <v>426</v>
      </c>
      <c r="C50" s="6" t="n">
        <v>2</v>
      </c>
      <c r="D50" s="6"/>
      <c r="E50" s="6"/>
      <c r="F50" s="6"/>
      <c r="G50" s="6"/>
      <c r="H50" s="6" t="n">
        <v>3</v>
      </c>
      <c r="I50" s="6" t="n">
        <v>4</v>
      </c>
      <c r="J50" s="6" t="n">
        <v>4</v>
      </c>
      <c r="K50" s="6"/>
      <c r="L50" s="6"/>
      <c r="M50" s="6"/>
      <c r="N50" s="6"/>
      <c r="O50" s="6"/>
      <c r="P50" s="6"/>
      <c r="Q50" s="6" t="n">
        <v>2</v>
      </c>
      <c r="R50" s="6" t="n">
        <v>2</v>
      </c>
    </row>
    <row r="51" customFormat="false" ht="15" hidden="false" customHeight="false" outlineLevel="0" collapsed="false">
      <c r="A51" s="5" t="s">
        <v>432</v>
      </c>
      <c r="B51" s="5" t="s">
        <v>433</v>
      </c>
      <c r="C51" s="6" t="n">
        <v>5</v>
      </c>
      <c r="D51" s="6"/>
      <c r="E51" s="6"/>
      <c r="F51" s="6"/>
      <c r="G51" s="6" t="n">
        <v>4</v>
      </c>
      <c r="H51" s="6"/>
      <c r="I51" s="6"/>
      <c r="J51" s="6"/>
      <c r="K51" s="6" t="n">
        <v>3</v>
      </c>
      <c r="L51" s="6"/>
      <c r="M51" s="6" t="n">
        <v>5</v>
      </c>
      <c r="N51" s="6"/>
      <c r="O51" s="6"/>
      <c r="P51" s="6"/>
      <c r="Q51" s="6"/>
      <c r="R51" s="6"/>
    </row>
    <row r="52" customFormat="false" ht="15" hidden="false" customHeight="false" outlineLevel="0" collapsed="false">
      <c r="A52" s="5" t="s">
        <v>439</v>
      </c>
      <c r="B52" s="5" t="s">
        <v>440</v>
      </c>
      <c r="C52" s="6" t="n">
        <v>5</v>
      </c>
      <c r="D52" s="6"/>
      <c r="E52" s="6"/>
      <c r="F52" s="6"/>
      <c r="G52" s="6" t="n">
        <v>3</v>
      </c>
      <c r="H52" s="6"/>
      <c r="I52" s="6"/>
      <c r="J52" s="6"/>
      <c r="K52" s="6" t="n">
        <v>5</v>
      </c>
      <c r="L52" s="6"/>
      <c r="M52" s="6" t="n">
        <v>3</v>
      </c>
      <c r="N52" s="6" t="n">
        <v>1</v>
      </c>
      <c r="O52" s="6"/>
      <c r="P52" s="6"/>
      <c r="Q52" s="6"/>
      <c r="R52" s="6"/>
    </row>
    <row r="53" customFormat="false" ht="15" hidden="false" customHeight="false" outlineLevel="0" collapsed="false">
      <c r="A53" s="5" t="s">
        <v>448</v>
      </c>
      <c r="B53" s="5" t="s">
        <v>449</v>
      </c>
      <c r="C53" s="6" t="n">
        <v>2</v>
      </c>
      <c r="D53" s="6" t="n">
        <v>4</v>
      </c>
      <c r="E53" s="6"/>
      <c r="F53" s="6"/>
      <c r="G53" s="6" t="n">
        <v>3</v>
      </c>
      <c r="H53" s="6"/>
      <c r="I53" s="6" t="n">
        <v>1</v>
      </c>
      <c r="J53" s="6"/>
      <c r="K53" s="6"/>
      <c r="L53" s="6"/>
      <c r="M53" s="6"/>
      <c r="N53" s="6"/>
      <c r="O53" s="6"/>
      <c r="P53" s="6" t="n">
        <v>5</v>
      </c>
      <c r="Q53" s="6"/>
      <c r="R53" s="6"/>
    </row>
    <row r="54" customFormat="false" ht="15" hidden="false" customHeight="false" outlineLevel="0" collapsed="false">
      <c r="A54" s="5" t="s">
        <v>455</v>
      </c>
      <c r="B54" s="5" t="s">
        <v>456</v>
      </c>
      <c r="C54" s="6"/>
      <c r="D54" s="6"/>
      <c r="E54" s="6"/>
      <c r="F54" s="6"/>
      <c r="G54" s="6" t="n">
        <v>2</v>
      </c>
      <c r="H54" s="6"/>
      <c r="I54" s="6"/>
      <c r="J54" s="6"/>
      <c r="K54" s="6" t="n">
        <v>1</v>
      </c>
      <c r="L54" s="6" t="n">
        <v>3</v>
      </c>
      <c r="M54" s="6"/>
      <c r="N54" s="6"/>
      <c r="O54" s="6"/>
      <c r="P54" s="6"/>
      <c r="Q54" s="6" t="n">
        <v>5</v>
      </c>
      <c r="R54" s="6"/>
    </row>
    <row r="55" customFormat="false" ht="15" hidden="false" customHeight="false" outlineLevel="0" collapsed="false">
      <c r="A55" s="5" t="s">
        <v>463</v>
      </c>
      <c r="B55" s="5" t="s">
        <v>464</v>
      </c>
      <c r="C55" s="6" t="n">
        <v>4</v>
      </c>
      <c r="D55" s="6"/>
      <c r="E55" s="6"/>
      <c r="F55" s="6"/>
      <c r="G55" s="6" t="n">
        <v>5</v>
      </c>
      <c r="H55" s="6"/>
      <c r="I55" s="6" t="n">
        <v>1</v>
      </c>
      <c r="J55" s="6"/>
      <c r="K55" s="6" t="n">
        <v>5</v>
      </c>
      <c r="L55" s="6" t="n">
        <v>4</v>
      </c>
      <c r="M55" s="6"/>
      <c r="N55" s="6"/>
      <c r="O55" s="6"/>
      <c r="P55" s="6"/>
      <c r="Q55" s="6"/>
      <c r="R55" s="6"/>
    </row>
    <row r="56" customFormat="false" ht="15" hidden="false" customHeight="false" outlineLevel="0" collapsed="false">
      <c r="A56" s="5" t="s">
        <v>469</v>
      </c>
      <c r="B56" s="5" t="s">
        <v>470</v>
      </c>
      <c r="C56" s="6" t="n">
        <v>3</v>
      </c>
      <c r="D56" s="6"/>
      <c r="E56" s="6"/>
      <c r="F56" s="6"/>
      <c r="G56" s="6"/>
      <c r="H56" s="6" t="n">
        <v>3</v>
      </c>
      <c r="I56" s="6" t="n">
        <v>3</v>
      </c>
      <c r="J56" s="6" t="n">
        <v>4</v>
      </c>
      <c r="K56" s="6"/>
      <c r="L56" s="6"/>
      <c r="M56" s="6"/>
      <c r="N56" s="6"/>
      <c r="O56" s="6"/>
      <c r="P56" s="6"/>
      <c r="Q56" s="6"/>
      <c r="R56" s="6" t="n">
        <v>2</v>
      </c>
    </row>
    <row r="57" customFormat="false" ht="15" hidden="false" customHeight="false" outlineLevel="0" collapsed="false">
      <c r="A57" s="5" t="s">
        <v>477</v>
      </c>
      <c r="B57" s="5" t="s">
        <v>478</v>
      </c>
      <c r="C57" s="6" t="n">
        <v>3</v>
      </c>
      <c r="D57" s="6"/>
      <c r="E57" s="6"/>
      <c r="F57" s="6"/>
      <c r="G57" s="6" t="n">
        <v>5</v>
      </c>
      <c r="H57" s="6"/>
      <c r="I57" s="6"/>
      <c r="J57" s="6"/>
      <c r="K57" s="6" t="n">
        <v>4</v>
      </c>
      <c r="L57" s="6" t="n">
        <v>3</v>
      </c>
      <c r="M57" s="6" t="n">
        <v>1</v>
      </c>
      <c r="N57" s="6"/>
      <c r="O57" s="6"/>
      <c r="P57" s="6"/>
      <c r="Q57" s="6"/>
      <c r="R57" s="6"/>
    </row>
    <row r="58" customFormat="false" ht="15" hidden="false" customHeight="false" outlineLevel="0" collapsed="false">
      <c r="A58" s="5" t="s">
        <v>485</v>
      </c>
      <c r="B58" s="5" t="s">
        <v>486</v>
      </c>
      <c r="C58" s="6" t="n">
        <v>4</v>
      </c>
      <c r="D58" s="6"/>
      <c r="E58" s="6" t="n">
        <v>2</v>
      </c>
      <c r="F58" s="6"/>
      <c r="G58" s="6"/>
      <c r="H58" s="6" t="n">
        <v>4</v>
      </c>
      <c r="I58" s="6"/>
      <c r="J58" s="6" t="n">
        <v>3</v>
      </c>
      <c r="K58" s="6"/>
      <c r="L58" s="6"/>
      <c r="M58" s="6"/>
      <c r="N58" s="6"/>
      <c r="O58" s="6"/>
      <c r="P58" s="6"/>
      <c r="Q58" s="6"/>
      <c r="R58" s="6" t="n">
        <v>4</v>
      </c>
    </row>
    <row r="59" customFormat="false" ht="15" hidden="false" customHeight="false" outlineLevel="0" collapsed="false">
      <c r="A59" s="5" t="s">
        <v>493</v>
      </c>
      <c r="B59" s="5" t="s">
        <v>494</v>
      </c>
      <c r="C59" s="6"/>
      <c r="D59" s="6" t="n">
        <v>3</v>
      </c>
      <c r="E59" s="6" t="n">
        <v>5</v>
      </c>
      <c r="F59" s="6"/>
      <c r="G59" s="6"/>
      <c r="H59" s="6"/>
      <c r="I59" s="6"/>
      <c r="J59" s="6"/>
      <c r="K59" s="6"/>
      <c r="L59" s="6"/>
      <c r="M59" s="6" t="n">
        <v>1</v>
      </c>
      <c r="N59" s="6"/>
      <c r="O59" s="6" t="n">
        <v>4</v>
      </c>
      <c r="P59" s="6" t="n">
        <v>2</v>
      </c>
      <c r="Q59" s="6"/>
      <c r="R59" s="6"/>
    </row>
    <row r="60" customFormat="false" ht="15" hidden="false" customHeight="false" outlineLevel="0" collapsed="false">
      <c r="A60" s="5" t="s">
        <v>500</v>
      </c>
      <c r="B60" s="5" t="s">
        <v>501</v>
      </c>
      <c r="C60" s="6"/>
      <c r="D60" s="6" t="n">
        <v>4</v>
      </c>
      <c r="E60" s="6" t="n">
        <v>4</v>
      </c>
      <c r="F60" s="6" t="n">
        <v>5</v>
      </c>
      <c r="G60" s="6" t="n">
        <v>4</v>
      </c>
      <c r="H60" s="6" t="n">
        <v>2</v>
      </c>
      <c r="I60" s="6" t="n">
        <v>2</v>
      </c>
      <c r="J60" s="6"/>
      <c r="K60" s="6"/>
      <c r="L60" s="6"/>
      <c r="M60" s="6"/>
      <c r="N60" s="6"/>
      <c r="O60" s="6"/>
      <c r="P60" s="6"/>
      <c r="Q60" s="6"/>
      <c r="R60" s="6"/>
    </row>
    <row r="61" customFormat="false" ht="15" hidden="false" customHeight="false" outlineLevel="0" collapsed="false">
      <c r="A61" s="5" t="s">
        <v>507</v>
      </c>
      <c r="B61" s="5" t="s">
        <v>508</v>
      </c>
      <c r="C61" s="6"/>
      <c r="D61" s="6" t="n">
        <v>5</v>
      </c>
      <c r="E61" s="6" t="n">
        <v>4</v>
      </c>
      <c r="F61" s="6" t="n">
        <v>5</v>
      </c>
      <c r="G61" s="6" t="n">
        <v>4</v>
      </c>
      <c r="H61" s="6"/>
      <c r="I61" s="6" t="n">
        <v>2</v>
      </c>
      <c r="J61" s="6"/>
      <c r="K61" s="6"/>
      <c r="L61" s="6"/>
      <c r="M61" s="6"/>
      <c r="N61" s="6"/>
      <c r="O61" s="6"/>
      <c r="P61" s="6"/>
      <c r="Q61" s="6"/>
      <c r="R61" s="6"/>
    </row>
    <row r="62" customFormat="false" ht="15" hidden="false" customHeight="false" outlineLevel="0" collapsed="false">
      <c r="A62" s="5" t="s">
        <v>514</v>
      </c>
      <c r="B62" s="5" t="s">
        <v>515</v>
      </c>
      <c r="C62" s="6" t="n">
        <v>4</v>
      </c>
      <c r="D62" s="6"/>
      <c r="E62" s="6"/>
      <c r="F62" s="6" t="n">
        <v>4</v>
      </c>
      <c r="G62" s="6" t="n">
        <v>4</v>
      </c>
      <c r="H62" s="6" t="n">
        <v>3</v>
      </c>
      <c r="I62" s="6" t="n">
        <v>3</v>
      </c>
      <c r="J62" s="6"/>
      <c r="K62" s="6"/>
      <c r="L62" s="6"/>
      <c r="M62" s="6"/>
      <c r="N62" s="6"/>
      <c r="O62" s="6"/>
      <c r="P62" s="6" t="n">
        <v>3</v>
      </c>
      <c r="Q62" s="6"/>
      <c r="R62" s="6"/>
    </row>
    <row r="63" customFormat="false" ht="15" hidden="false" customHeight="false" outlineLevel="0" collapsed="false">
      <c r="A63" s="5" t="s">
        <v>520</v>
      </c>
      <c r="B63" s="5" t="s">
        <v>521</v>
      </c>
      <c r="C63" s="6" t="n">
        <v>4</v>
      </c>
      <c r="D63" s="6"/>
      <c r="E63" s="6"/>
      <c r="F63" s="6" t="n">
        <v>4</v>
      </c>
      <c r="G63" s="6" t="n">
        <v>4</v>
      </c>
      <c r="H63" s="6" t="n">
        <v>2</v>
      </c>
      <c r="I63" s="6" t="n">
        <v>2</v>
      </c>
      <c r="J63" s="6"/>
      <c r="K63" s="6"/>
      <c r="L63" s="6"/>
      <c r="M63" s="6"/>
      <c r="N63" s="6"/>
      <c r="O63" s="6"/>
      <c r="P63" s="6" t="n">
        <v>2</v>
      </c>
      <c r="Q63" s="6"/>
      <c r="R63" s="6"/>
    </row>
    <row r="64" customFormat="false" ht="15" hidden="false" customHeight="false" outlineLevel="0" collapsed="false">
      <c r="A64" s="5" t="s">
        <v>525</v>
      </c>
      <c r="B64" s="5" t="s">
        <v>526</v>
      </c>
      <c r="C64" s="6"/>
      <c r="D64" s="6" t="n">
        <v>5</v>
      </c>
      <c r="E64" s="6" t="n">
        <v>4</v>
      </c>
      <c r="F64" s="6" t="n">
        <v>4</v>
      </c>
      <c r="G64" s="6" t="n">
        <v>3</v>
      </c>
      <c r="H64" s="6"/>
      <c r="I64" s="6" t="n">
        <v>2</v>
      </c>
      <c r="J64" s="6"/>
      <c r="K64" s="6"/>
      <c r="L64" s="6"/>
      <c r="M64" s="6"/>
      <c r="N64" s="6"/>
      <c r="O64" s="6"/>
      <c r="P64" s="6"/>
      <c r="Q64" s="6"/>
      <c r="R64" s="6"/>
    </row>
    <row r="65" customFormat="false" ht="15" hidden="false" customHeight="false" outlineLevel="0" collapsed="false">
      <c r="A65" s="5" t="s">
        <v>531</v>
      </c>
      <c r="B65" s="5" t="s">
        <v>532</v>
      </c>
      <c r="C65" s="6" t="n">
        <v>3</v>
      </c>
      <c r="D65" s="6"/>
      <c r="E65" s="6"/>
      <c r="F65" s="6" t="n">
        <v>4</v>
      </c>
      <c r="G65" s="6" t="n">
        <v>4</v>
      </c>
      <c r="H65" s="6" t="n">
        <v>3</v>
      </c>
      <c r="I65" s="6" t="n">
        <v>3</v>
      </c>
      <c r="J65" s="6" t="n">
        <v>2</v>
      </c>
      <c r="K65" s="6"/>
      <c r="L65" s="6"/>
      <c r="M65" s="6"/>
      <c r="N65" s="6"/>
      <c r="O65" s="6"/>
      <c r="P65" s="6" t="n">
        <v>1</v>
      </c>
      <c r="Q65" s="6"/>
      <c r="R65" s="6"/>
    </row>
    <row r="66" customFormat="false" ht="15" hidden="false" customHeight="false" outlineLevel="0" collapsed="false">
      <c r="A66" s="5" t="s">
        <v>538</v>
      </c>
      <c r="B66" s="5" t="s">
        <v>539</v>
      </c>
      <c r="C66" s="6" t="n">
        <v>2</v>
      </c>
      <c r="D66" s="6"/>
      <c r="E66" s="6"/>
      <c r="F66" s="6"/>
      <c r="G66" s="6"/>
      <c r="H66" s="6" t="n">
        <v>3</v>
      </c>
      <c r="I66" s="6" t="n">
        <v>4</v>
      </c>
      <c r="J66" s="6" t="n">
        <v>4</v>
      </c>
      <c r="K66" s="6"/>
      <c r="L66" s="6" t="n">
        <v>1</v>
      </c>
      <c r="M66" s="6"/>
      <c r="N66" s="6"/>
      <c r="O66" s="6"/>
      <c r="P66" s="6"/>
      <c r="Q66" s="6"/>
      <c r="R66" s="6"/>
    </row>
    <row r="67" customFormat="false" ht="15" hidden="false" customHeight="false" outlineLevel="0" collapsed="false">
      <c r="A67" s="5" t="s">
        <v>545</v>
      </c>
      <c r="B67" s="5" t="s">
        <v>546</v>
      </c>
      <c r="C67" s="6"/>
      <c r="D67" s="6" t="n">
        <v>1</v>
      </c>
      <c r="E67" s="6" t="n">
        <v>2</v>
      </c>
      <c r="F67" s="6"/>
      <c r="G67" s="6"/>
      <c r="H67" s="6"/>
      <c r="I67" s="6"/>
      <c r="J67" s="6"/>
      <c r="K67" s="6"/>
      <c r="L67" s="6"/>
      <c r="M67" s="6"/>
      <c r="N67" s="6"/>
      <c r="O67" s="6" t="n">
        <v>5</v>
      </c>
      <c r="P67" s="6"/>
      <c r="Q67" s="6"/>
      <c r="R67" s="6"/>
    </row>
    <row r="68" customFormat="false" ht="15" hidden="false" customHeight="false" outlineLevel="0" collapsed="false">
      <c r="A68" s="5" t="s">
        <v>551</v>
      </c>
      <c r="B68" s="5" t="s">
        <v>552</v>
      </c>
      <c r="C68" s="6" t="n">
        <v>3</v>
      </c>
      <c r="D68" s="6"/>
      <c r="E68" s="6"/>
      <c r="F68" s="6"/>
      <c r="G68" s="6"/>
      <c r="H68" s="6" t="n">
        <v>5</v>
      </c>
      <c r="I68" s="6" t="n">
        <v>4</v>
      </c>
      <c r="J68" s="6" t="n">
        <v>4</v>
      </c>
      <c r="K68" s="6"/>
      <c r="L68" s="6"/>
      <c r="M68" s="6"/>
      <c r="N68" s="6"/>
      <c r="O68" s="6"/>
      <c r="P68" s="6"/>
      <c r="Q68" s="6"/>
      <c r="R68" s="6" t="n">
        <v>3</v>
      </c>
    </row>
    <row r="69" customFormat="false" ht="15" hidden="false" customHeight="false" outlineLevel="0" collapsed="false">
      <c r="A69" s="5" t="s">
        <v>559</v>
      </c>
      <c r="B69" s="5" t="s">
        <v>560</v>
      </c>
      <c r="C69" s="6" t="n">
        <v>4</v>
      </c>
      <c r="D69" s="6"/>
      <c r="E69" s="6"/>
      <c r="F69" s="6"/>
      <c r="G69" s="6" t="n">
        <v>4</v>
      </c>
      <c r="H69" s="6" t="n">
        <v>2</v>
      </c>
      <c r="I69" s="6"/>
      <c r="J69" s="6"/>
      <c r="K69" s="6" t="n">
        <v>3</v>
      </c>
      <c r="L69" s="6"/>
      <c r="M69" s="6"/>
      <c r="N69" s="6"/>
      <c r="O69" s="6"/>
      <c r="P69" s="6"/>
      <c r="Q69" s="6"/>
      <c r="R69" s="6"/>
    </row>
    <row r="70" customFormat="false" ht="15" hidden="false" customHeight="false" outlineLevel="0" collapsed="false">
      <c r="A70" s="5" t="s">
        <v>565</v>
      </c>
      <c r="B70" s="5" t="s">
        <v>566</v>
      </c>
      <c r="C70" s="6" t="n">
        <v>3</v>
      </c>
      <c r="D70" s="6"/>
      <c r="E70" s="6"/>
      <c r="F70" s="6"/>
      <c r="G70" s="6" t="n">
        <v>5</v>
      </c>
      <c r="H70" s="6"/>
      <c r="I70" s="6"/>
      <c r="J70" s="6"/>
      <c r="K70" s="6" t="n">
        <v>5</v>
      </c>
      <c r="L70" s="6" t="n">
        <v>3</v>
      </c>
      <c r="M70" s="6"/>
      <c r="N70" s="6"/>
      <c r="O70" s="6"/>
      <c r="P70" s="6"/>
      <c r="Q70" s="6"/>
      <c r="R70" s="6"/>
    </row>
    <row r="71" customFormat="false" ht="15" hidden="false" customHeight="false" outlineLevel="0" collapsed="false">
      <c r="A71" s="5" t="s">
        <v>571</v>
      </c>
      <c r="B71" s="5" t="s">
        <v>572</v>
      </c>
      <c r="C71" s="6" t="n">
        <v>1</v>
      </c>
      <c r="D71" s="6" t="n">
        <v>4</v>
      </c>
      <c r="E71" s="6"/>
      <c r="F71" s="6"/>
      <c r="G71" s="6" t="n">
        <v>2</v>
      </c>
      <c r="H71" s="6"/>
      <c r="I71" s="6"/>
      <c r="J71" s="6"/>
      <c r="K71" s="6"/>
      <c r="L71" s="6"/>
      <c r="M71" s="6"/>
      <c r="N71" s="6"/>
      <c r="O71" s="6"/>
      <c r="P71" s="6" t="n">
        <v>4</v>
      </c>
      <c r="Q71" s="6"/>
      <c r="R71" s="6"/>
    </row>
    <row r="72" customFormat="false" ht="15" hidden="false" customHeight="false" outlineLevel="0" collapsed="false">
      <c r="A72" s="5" t="s">
        <v>578</v>
      </c>
      <c r="B72" s="5" t="s">
        <v>579</v>
      </c>
      <c r="C72" s="6" t="n">
        <v>3</v>
      </c>
      <c r="D72" s="6"/>
      <c r="E72" s="6" t="n">
        <v>1</v>
      </c>
      <c r="F72" s="6" t="n">
        <v>4</v>
      </c>
      <c r="G72" s="6" t="n">
        <v>3</v>
      </c>
      <c r="H72" s="6" t="n">
        <v>3</v>
      </c>
      <c r="I72" s="6" t="n">
        <v>3</v>
      </c>
      <c r="J72" s="6"/>
      <c r="K72" s="6"/>
      <c r="L72" s="6"/>
      <c r="M72" s="6"/>
      <c r="N72" s="6"/>
      <c r="O72" s="6"/>
      <c r="P72" s="6" t="n">
        <v>3</v>
      </c>
      <c r="Q72" s="6"/>
      <c r="R72" s="6"/>
    </row>
    <row r="73" customFormat="false" ht="15" hidden="false" customHeight="false" outlineLevel="0" collapsed="false">
      <c r="A73" s="5" t="s">
        <v>584</v>
      </c>
      <c r="B73" s="5" t="s">
        <v>585</v>
      </c>
      <c r="C73" s="6" t="n">
        <v>2</v>
      </c>
      <c r="D73" s="6"/>
      <c r="E73" s="6"/>
      <c r="F73" s="6"/>
      <c r="G73" s="6" t="n">
        <v>4</v>
      </c>
      <c r="H73" s="6"/>
      <c r="I73" s="6"/>
      <c r="J73" s="6"/>
      <c r="K73" s="6" t="n">
        <v>4</v>
      </c>
      <c r="L73" s="6" t="n">
        <v>4</v>
      </c>
      <c r="M73" s="6"/>
      <c r="N73" s="6"/>
      <c r="O73" s="6"/>
      <c r="P73" s="6"/>
      <c r="Q73" s="6"/>
      <c r="R73" s="6"/>
    </row>
    <row r="74" customFormat="false" ht="15" hidden="false" customHeight="false" outlineLevel="0" collapsed="false">
      <c r="A74" s="5" t="s">
        <v>590</v>
      </c>
      <c r="B74" s="5" t="s">
        <v>591</v>
      </c>
      <c r="C74" s="6"/>
      <c r="D74" s="6" t="n">
        <v>4</v>
      </c>
      <c r="E74" s="6" t="n">
        <v>4</v>
      </c>
      <c r="F74" s="6" t="n">
        <v>5</v>
      </c>
      <c r="G74" s="6" t="n">
        <v>2</v>
      </c>
      <c r="H74" s="6"/>
      <c r="I74" s="6" t="n">
        <v>3</v>
      </c>
      <c r="J74" s="6" t="n">
        <v>1</v>
      </c>
      <c r="K74" s="6"/>
      <c r="L74" s="6"/>
      <c r="M74" s="6"/>
      <c r="N74" s="6"/>
      <c r="O74" s="6"/>
      <c r="P74" s="6"/>
      <c r="Q74" s="6"/>
      <c r="R74" s="6"/>
    </row>
    <row r="75" customFormat="false" ht="15" hidden="false" customHeight="false" outlineLevel="0" collapsed="false">
      <c r="A75" s="5" t="s">
        <v>596</v>
      </c>
      <c r="B75" s="5" t="s">
        <v>597</v>
      </c>
      <c r="C75" s="6" t="n">
        <v>3</v>
      </c>
      <c r="D75" s="6"/>
      <c r="E75" s="6"/>
      <c r="F75" s="6" t="n">
        <v>2</v>
      </c>
      <c r="G75" s="6" t="n">
        <v>4</v>
      </c>
      <c r="H75" s="6" t="n">
        <v>3</v>
      </c>
      <c r="I75" s="6" t="n">
        <v>3</v>
      </c>
      <c r="J75" s="6"/>
      <c r="K75" s="6"/>
      <c r="L75" s="6"/>
      <c r="M75" s="6"/>
      <c r="N75" s="6"/>
      <c r="O75" s="6" t="n">
        <v>1</v>
      </c>
      <c r="P75" s="6" t="n">
        <v>2</v>
      </c>
      <c r="Q75" s="6"/>
      <c r="R75" s="6"/>
    </row>
    <row r="76" customFormat="false" ht="15" hidden="false" customHeight="false" outlineLevel="0" collapsed="false">
      <c r="A76" s="5" t="s">
        <v>602</v>
      </c>
      <c r="B76" s="5" t="s">
        <v>603</v>
      </c>
      <c r="C76" s="6"/>
      <c r="D76" s="6" t="n">
        <v>4</v>
      </c>
      <c r="E76" s="6" t="n">
        <v>4</v>
      </c>
      <c r="F76" s="6" t="n">
        <v>5</v>
      </c>
      <c r="G76" s="6" t="n">
        <v>3</v>
      </c>
      <c r="H76" s="6"/>
      <c r="I76" s="6" t="n">
        <v>3</v>
      </c>
      <c r="J76" s="6"/>
      <c r="K76" s="6"/>
      <c r="L76" s="6"/>
      <c r="M76" s="6"/>
      <c r="N76" s="6"/>
      <c r="O76" s="6"/>
      <c r="P76" s="6"/>
      <c r="Q76" s="6"/>
      <c r="R76" s="6"/>
    </row>
    <row r="77" customFormat="false" ht="15" hidden="false" customHeight="false" outlineLevel="0" collapsed="false">
      <c r="A77" s="5" t="s">
        <v>606</v>
      </c>
      <c r="B77" s="5" t="s">
        <v>607</v>
      </c>
      <c r="C77" s="6" t="n">
        <v>3</v>
      </c>
      <c r="D77" s="6"/>
      <c r="E77" s="6"/>
      <c r="F77" s="6"/>
      <c r="G77" s="6"/>
      <c r="H77" s="6" t="n">
        <v>3</v>
      </c>
      <c r="I77" s="6" t="n">
        <v>3</v>
      </c>
      <c r="J77" s="6" t="n">
        <v>4</v>
      </c>
      <c r="K77" s="6"/>
      <c r="L77" s="6"/>
      <c r="M77" s="6"/>
      <c r="N77" s="6"/>
      <c r="O77" s="6"/>
      <c r="P77" s="6"/>
      <c r="Q77" s="6"/>
      <c r="R77" s="6" t="n">
        <v>2</v>
      </c>
    </row>
    <row r="78" customFormat="false" ht="15" hidden="false" customHeight="false" outlineLevel="0" collapsed="false">
      <c r="A78" s="5" t="s">
        <v>611</v>
      </c>
      <c r="B78" s="5" t="s">
        <v>612</v>
      </c>
      <c r="C78" s="6" t="n">
        <v>4</v>
      </c>
      <c r="D78" s="6"/>
      <c r="E78" s="6"/>
      <c r="F78" s="6"/>
      <c r="G78" s="6"/>
      <c r="H78" s="6" t="n">
        <v>4</v>
      </c>
      <c r="I78" s="6" t="n">
        <v>3</v>
      </c>
      <c r="J78" s="6" t="n">
        <v>4</v>
      </c>
      <c r="K78" s="6"/>
      <c r="L78" s="6"/>
      <c r="M78" s="6"/>
      <c r="N78" s="6"/>
      <c r="O78" s="6" t="n">
        <v>1</v>
      </c>
      <c r="P78" s="6"/>
      <c r="Q78" s="6"/>
      <c r="R78" s="6" t="n">
        <v>1</v>
      </c>
    </row>
    <row r="79" customFormat="false" ht="15" hidden="false" customHeight="false" outlineLevel="0" collapsed="false">
      <c r="A79" s="5" t="s">
        <v>619</v>
      </c>
      <c r="B79" s="5" t="s">
        <v>620</v>
      </c>
      <c r="C79" s="6" t="n">
        <v>4</v>
      </c>
      <c r="D79" s="6" t="n">
        <v>1</v>
      </c>
      <c r="E79" s="6"/>
      <c r="F79" s="6" t="n">
        <v>2</v>
      </c>
      <c r="G79" s="6" t="n">
        <v>4</v>
      </c>
      <c r="H79" s="6" t="n">
        <v>3</v>
      </c>
      <c r="I79" s="6" t="n">
        <v>3</v>
      </c>
      <c r="J79" s="6"/>
      <c r="K79" s="6"/>
      <c r="L79" s="6"/>
      <c r="M79" s="6"/>
      <c r="N79" s="6"/>
      <c r="O79" s="6"/>
      <c r="P79" s="6" t="n">
        <v>3</v>
      </c>
      <c r="Q79" s="6"/>
      <c r="R79" s="6"/>
    </row>
    <row r="80" customFormat="false" ht="15" hidden="false" customHeight="false" outlineLevel="0" collapsed="false">
      <c r="A80" s="5" t="s">
        <v>626</v>
      </c>
      <c r="B80" s="5" t="s">
        <v>627</v>
      </c>
      <c r="C80" s="6" t="n">
        <v>3</v>
      </c>
      <c r="D80" s="6"/>
      <c r="E80" s="6"/>
      <c r="F80" s="6"/>
      <c r="G80" s="6" t="n">
        <v>5</v>
      </c>
      <c r="H80" s="6" t="n">
        <v>1</v>
      </c>
      <c r="I80" s="6"/>
      <c r="J80" s="6"/>
      <c r="K80" s="6" t="n">
        <v>5</v>
      </c>
      <c r="L80" s="6" t="n">
        <v>5</v>
      </c>
      <c r="M80" s="6"/>
      <c r="N80" s="6"/>
      <c r="O80" s="6"/>
      <c r="P80" s="6"/>
      <c r="Q80" s="6"/>
      <c r="R80" s="6"/>
    </row>
    <row r="81" customFormat="false" ht="15" hidden="false" customHeight="false" outlineLevel="0" collapsed="false">
      <c r="A81" s="5" t="s">
        <v>634</v>
      </c>
      <c r="B81" s="5" t="s">
        <v>204</v>
      </c>
      <c r="C81" s="6"/>
      <c r="D81" s="6" t="n">
        <v>3</v>
      </c>
      <c r="E81" s="6" t="n">
        <v>2</v>
      </c>
      <c r="F81" s="6"/>
      <c r="G81" s="6"/>
      <c r="H81" s="6"/>
      <c r="I81" s="6"/>
      <c r="J81" s="6"/>
      <c r="K81" s="6"/>
      <c r="L81" s="6"/>
      <c r="M81" s="6"/>
      <c r="N81" s="6"/>
      <c r="O81" s="6" t="n">
        <v>5</v>
      </c>
      <c r="P81" s="6"/>
      <c r="Q81" s="6"/>
      <c r="R81" s="6"/>
    </row>
    <row r="82" customFormat="false" ht="15" hidden="false" customHeight="false" outlineLevel="0" collapsed="false">
      <c r="A82" s="5" t="s">
        <v>638</v>
      </c>
      <c r="B82" s="5" t="s">
        <v>639</v>
      </c>
      <c r="C82" s="6" t="n">
        <v>3</v>
      </c>
      <c r="D82" s="6"/>
      <c r="E82" s="6"/>
      <c r="F82" s="6"/>
      <c r="G82" s="6" t="n">
        <v>1</v>
      </c>
      <c r="H82" s="6" t="n">
        <v>4</v>
      </c>
      <c r="I82" s="6"/>
      <c r="J82" s="6" t="n">
        <v>2</v>
      </c>
      <c r="K82" s="6"/>
      <c r="L82" s="6"/>
      <c r="M82" s="6"/>
      <c r="N82" s="6"/>
      <c r="O82" s="6"/>
      <c r="P82" s="6"/>
      <c r="Q82" s="6"/>
      <c r="R82" s="6" t="n">
        <v>4</v>
      </c>
    </row>
    <row r="83" customFormat="false" ht="15" hidden="false" customHeight="false" outlineLevel="0" collapsed="false">
      <c r="A83" s="5" t="s">
        <v>646</v>
      </c>
      <c r="B83" s="5" t="s">
        <v>647</v>
      </c>
      <c r="C83" s="6" t="n">
        <v>1</v>
      </c>
      <c r="D83" s="6" t="n">
        <v>3</v>
      </c>
      <c r="E83" s="6"/>
      <c r="F83" s="6"/>
      <c r="G83" s="6" t="n">
        <v>3</v>
      </c>
      <c r="H83" s="6"/>
      <c r="I83" s="6"/>
      <c r="J83" s="6"/>
      <c r="K83" s="6"/>
      <c r="L83" s="6"/>
      <c r="M83" s="6"/>
      <c r="N83" s="6"/>
      <c r="O83" s="6"/>
      <c r="P83" s="6" t="n">
        <v>5</v>
      </c>
      <c r="Q83" s="6"/>
      <c r="R83" s="6"/>
    </row>
    <row r="84" customFormat="false" ht="15" hidden="false" customHeight="false" outlineLevel="0" collapsed="false">
      <c r="A84" s="5" t="s">
        <v>652</v>
      </c>
      <c r="B84" s="5" t="s">
        <v>653</v>
      </c>
      <c r="C84" s="6"/>
      <c r="D84" s="6"/>
      <c r="E84" s="6"/>
      <c r="F84" s="6"/>
      <c r="G84" s="6"/>
      <c r="H84" s="6"/>
      <c r="I84" s="6"/>
      <c r="J84" s="6"/>
      <c r="K84" s="6"/>
      <c r="L84" s="6" t="n">
        <v>4</v>
      </c>
      <c r="M84" s="6"/>
      <c r="N84" s="6"/>
      <c r="O84" s="6"/>
      <c r="P84" s="6"/>
      <c r="Q84" s="6" t="n">
        <v>5</v>
      </c>
      <c r="R84" s="6"/>
    </row>
    <row r="85" customFormat="false" ht="15" hidden="false" customHeight="false" outlineLevel="0" collapsed="false">
      <c r="A85" s="5" t="s">
        <v>659</v>
      </c>
      <c r="B85" s="5" t="s">
        <v>660</v>
      </c>
      <c r="C85" s="6"/>
      <c r="D85" s="6" t="n">
        <v>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 t="n">
        <v>5</v>
      </c>
      <c r="P85" s="6"/>
      <c r="Q85" s="6" t="n">
        <v>2</v>
      </c>
      <c r="R85" s="6"/>
    </row>
    <row r="86" customFormat="false" ht="15" hidden="false" customHeight="false" outlineLevel="0" collapsed="false">
      <c r="A86" s="5" t="s">
        <v>665</v>
      </c>
      <c r="B86" s="5" t="s">
        <v>666</v>
      </c>
      <c r="C86" s="6" t="n">
        <v>4</v>
      </c>
      <c r="D86" s="6"/>
      <c r="E86" s="6"/>
      <c r="F86" s="6"/>
      <c r="G86" s="6" t="n">
        <v>4</v>
      </c>
      <c r="H86" s="6"/>
      <c r="I86" s="6"/>
      <c r="J86" s="6"/>
      <c r="K86" s="6" t="n">
        <v>4</v>
      </c>
      <c r="L86" s="6"/>
      <c r="M86" s="6" t="n">
        <v>5</v>
      </c>
      <c r="N86" s="6" t="n">
        <v>2</v>
      </c>
      <c r="O86" s="6"/>
      <c r="P86" s="6"/>
      <c r="Q86" s="6"/>
      <c r="R86" s="6"/>
    </row>
    <row r="87" customFormat="false" ht="15" hidden="false" customHeight="false" outlineLevel="0" collapsed="false">
      <c r="A87" s="5" t="s">
        <v>672</v>
      </c>
      <c r="B87" s="5" t="s">
        <v>673</v>
      </c>
      <c r="C87" s="6" t="n">
        <v>3</v>
      </c>
      <c r="D87" s="6"/>
      <c r="E87" s="6"/>
      <c r="F87" s="6" t="n">
        <v>2</v>
      </c>
      <c r="G87" s="6" t="n">
        <v>5</v>
      </c>
      <c r="H87" s="6" t="n">
        <v>3</v>
      </c>
      <c r="I87" s="6" t="n">
        <v>3</v>
      </c>
      <c r="J87" s="6"/>
      <c r="K87" s="6"/>
      <c r="L87" s="6"/>
      <c r="M87" s="6"/>
      <c r="N87" s="6"/>
      <c r="O87" s="6" t="n">
        <v>2</v>
      </c>
      <c r="P87" s="6" t="n">
        <v>3</v>
      </c>
      <c r="Q87" s="6"/>
      <c r="R87" s="6"/>
    </row>
    <row r="88" customFormat="false" ht="15" hidden="false" customHeight="false" outlineLevel="0" collapsed="false">
      <c r="A88" s="5" t="s">
        <v>679</v>
      </c>
      <c r="B88" s="5" t="s">
        <v>680</v>
      </c>
      <c r="C88" s="6" t="n">
        <v>3</v>
      </c>
      <c r="D88" s="6"/>
      <c r="E88" s="6"/>
      <c r="F88" s="6"/>
      <c r="G88" s="6"/>
      <c r="H88" s="6" t="n">
        <v>3</v>
      </c>
      <c r="I88" s="6" t="n">
        <v>3</v>
      </c>
      <c r="J88" s="6"/>
      <c r="K88" s="6" t="n">
        <v>4</v>
      </c>
      <c r="L88" s="6"/>
      <c r="M88" s="6" t="n">
        <v>5</v>
      </c>
      <c r="N88" s="6"/>
      <c r="O88" s="6"/>
      <c r="P88" s="6"/>
      <c r="Q88" s="6"/>
      <c r="R88" s="6"/>
    </row>
    <row r="89" customFormat="false" ht="15" hidden="false" customHeight="false" outlineLevel="0" collapsed="false">
      <c r="A89" s="5" t="s">
        <v>686</v>
      </c>
      <c r="B89" s="5" t="s">
        <v>687</v>
      </c>
      <c r="C89" s="6" t="n">
        <v>3</v>
      </c>
      <c r="D89" s="6"/>
      <c r="E89" s="6"/>
      <c r="F89" s="6"/>
      <c r="G89" s="6" t="n">
        <v>4</v>
      </c>
      <c r="H89" s="6"/>
      <c r="I89" s="6"/>
      <c r="J89" s="6"/>
      <c r="K89" s="6" t="n">
        <v>4</v>
      </c>
      <c r="L89" s="6" t="n">
        <v>4</v>
      </c>
      <c r="M89" s="6"/>
      <c r="N89" s="6"/>
      <c r="O89" s="6"/>
      <c r="P89" s="6"/>
      <c r="Q89" s="6"/>
      <c r="R89" s="6"/>
    </row>
    <row r="90" customFormat="false" ht="15" hidden="false" customHeight="false" outlineLevel="0" collapsed="false">
      <c r="A90" s="5" t="s">
        <v>694</v>
      </c>
      <c r="B90" s="5" t="s">
        <v>695</v>
      </c>
      <c r="C90" s="6" t="n">
        <v>4</v>
      </c>
      <c r="D90" s="6"/>
      <c r="E90" s="6"/>
      <c r="F90" s="6" t="n">
        <v>2</v>
      </c>
      <c r="G90" s="6" t="n">
        <v>3</v>
      </c>
      <c r="H90" s="6" t="n">
        <v>4</v>
      </c>
      <c r="I90" s="6" t="n">
        <v>2</v>
      </c>
      <c r="J90" s="6"/>
      <c r="K90" s="6"/>
      <c r="L90" s="6"/>
      <c r="M90" s="6"/>
      <c r="N90" s="6"/>
      <c r="O90" s="6"/>
      <c r="P90" s="6" t="n">
        <v>2</v>
      </c>
      <c r="Q90" s="6"/>
      <c r="R90" s="6"/>
    </row>
    <row r="91" customFormat="false" ht="15" hidden="false" customHeight="false" outlineLevel="0" collapsed="false">
      <c r="A91" s="5" t="s">
        <v>699</v>
      </c>
      <c r="B91" s="5" t="s">
        <v>700</v>
      </c>
      <c r="C91" s="6" t="n">
        <v>4</v>
      </c>
      <c r="D91" s="6"/>
      <c r="E91" s="6"/>
      <c r="F91" s="6" t="n">
        <v>3</v>
      </c>
      <c r="G91" s="6" t="n">
        <v>5</v>
      </c>
      <c r="H91" s="6" t="n">
        <v>2</v>
      </c>
      <c r="I91" s="6" t="n">
        <v>4</v>
      </c>
      <c r="J91" s="6"/>
      <c r="K91" s="6"/>
      <c r="L91" s="6"/>
      <c r="M91" s="6"/>
      <c r="N91" s="6"/>
      <c r="O91" s="6"/>
      <c r="P91" s="6" t="n">
        <v>2</v>
      </c>
      <c r="Q91" s="6"/>
      <c r="R91" s="6"/>
    </row>
    <row r="92" customFormat="false" ht="15" hidden="false" customHeight="false" outlineLevel="0" collapsed="false">
      <c r="A92" s="5" t="s">
        <v>706</v>
      </c>
      <c r="B92" s="5" t="s">
        <v>707</v>
      </c>
      <c r="C92" s="6" t="n">
        <v>1</v>
      </c>
      <c r="D92" s="6" t="n">
        <v>2</v>
      </c>
      <c r="E92" s="6"/>
      <c r="F92" s="6"/>
      <c r="G92" s="6" t="n">
        <v>2</v>
      </c>
      <c r="H92" s="6"/>
      <c r="I92" s="6"/>
      <c r="J92" s="6"/>
      <c r="K92" s="6"/>
      <c r="L92" s="6"/>
      <c r="M92" s="6"/>
      <c r="N92" s="6"/>
      <c r="O92" s="6"/>
      <c r="P92" s="6" t="n">
        <v>5</v>
      </c>
      <c r="Q92" s="6"/>
      <c r="R92" s="6"/>
    </row>
    <row r="93" customFormat="false" ht="15" hidden="false" customHeight="false" outlineLevel="0" collapsed="false">
      <c r="A93" s="5" t="s">
        <v>711</v>
      </c>
      <c r="B93" s="5" t="s">
        <v>712</v>
      </c>
      <c r="C93" s="6" t="n">
        <v>4</v>
      </c>
      <c r="D93" s="6"/>
      <c r="E93" s="6"/>
      <c r="F93" s="6" t="n">
        <v>3</v>
      </c>
      <c r="G93" s="6" t="n">
        <v>4</v>
      </c>
      <c r="H93" s="6" t="n">
        <v>3</v>
      </c>
      <c r="I93" s="6" t="n">
        <v>3</v>
      </c>
      <c r="J93" s="6"/>
      <c r="K93" s="6"/>
      <c r="L93" s="6"/>
      <c r="M93" s="6"/>
      <c r="N93" s="6"/>
      <c r="O93" s="6"/>
      <c r="P93" s="6"/>
      <c r="Q93" s="6"/>
      <c r="R93" s="6"/>
    </row>
    <row r="94" customFormat="false" ht="15" hidden="false" customHeight="false" outlineLevel="0" collapsed="false">
      <c r="A94" s="5" t="s">
        <v>717</v>
      </c>
      <c r="B94" s="5" t="s">
        <v>718</v>
      </c>
      <c r="C94" s="6" t="n">
        <v>5</v>
      </c>
      <c r="D94" s="6"/>
      <c r="E94" s="6"/>
      <c r="F94" s="6"/>
      <c r="G94" s="6"/>
      <c r="H94" s="6" t="n">
        <v>3</v>
      </c>
      <c r="I94" s="6" t="n">
        <v>3</v>
      </c>
      <c r="J94" s="6"/>
      <c r="K94" s="6" t="n">
        <v>4</v>
      </c>
      <c r="L94" s="6"/>
      <c r="M94" s="6" t="n">
        <v>4</v>
      </c>
      <c r="N94" s="6"/>
      <c r="O94" s="6"/>
      <c r="P94" s="6"/>
      <c r="Q94" s="6"/>
      <c r="R94" s="6"/>
    </row>
    <row r="95" customFormat="false" ht="15" hidden="false" customHeight="false" outlineLevel="0" collapsed="false">
      <c r="A95" s="5" t="s">
        <v>723</v>
      </c>
      <c r="B95" s="5" t="s">
        <v>724</v>
      </c>
      <c r="C95" s="6" t="n">
        <v>5</v>
      </c>
      <c r="D95" s="6"/>
      <c r="E95" s="6"/>
      <c r="F95" s="6" t="n">
        <v>2</v>
      </c>
      <c r="G95" s="6" t="n">
        <v>4</v>
      </c>
      <c r="H95" s="6" t="n">
        <v>3</v>
      </c>
      <c r="I95" s="6" t="n">
        <v>3</v>
      </c>
      <c r="J95" s="6"/>
      <c r="K95" s="6"/>
      <c r="L95" s="6"/>
      <c r="M95" s="6"/>
      <c r="N95" s="6"/>
      <c r="O95" s="6"/>
      <c r="P95" s="6" t="n">
        <v>3</v>
      </c>
      <c r="Q95" s="6"/>
      <c r="R95" s="6"/>
    </row>
    <row r="96" customFormat="false" ht="15" hidden="false" customHeight="false" outlineLevel="0" collapsed="false">
      <c r="A96" s="5" t="s">
        <v>729</v>
      </c>
      <c r="B96" s="5" t="s">
        <v>730</v>
      </c>
      <c r="C96" s="6" t="n">
        <v>2</v>
      </c>
      <c r="D96" s="6"/>
      <c r="E96" s="6"/>
      <c r="F96" s="6"/>
      <c r="G96" s="6" t="n">
        <v>5</v>
      </c>
      <c r="H96" s="6"/>
      <c r="I96" s="6"/>
      <c r="J96" s="6"/>
      <c r="K96" s="6" t="n">
        <v>3</v>
      </c>
      <c r="L96" s="6" t="n">
        <v>5</v>
      </c>
      <c r="M96" s="6"/>
      <c r="N96" s="6"/>
      <c r="O96" s="6"/>
      <c r="P96" s="6"/>
      <c r="Q96" s="6"/>
      <c r="R96" s="6"/>
    </row>
    <row r="97" customFormat="false" ht="15" hidden="false" customHeight="false" outlineLevel="0" collapsed="false">
      <c r="A97" s="5" t="s">
        <v>735</v>
      </c>
      <c r="B97" s="5" t="s">
        <v>736</v>
      </c>
      <c r="C97" s="6" t="n">
        <v>3</v>
      </c>
      <c r="D97" s="6"/>
      <c r="E97" s="6"/>
      <c r="F97" s="6"/>
      <c r="G97" s="6"/>
      <c r="H97" s="6" t="n">
        <v>4</v>
      </c>
      <c r="I97" s="6" t="n">
        <v>4</v>
      </c>
      <c r="J97" s="6" t="n">
        <v>4</v>
      </c>
      <c r="K97" s="6"/>
      <c r="L97" s="6"/>
      <c r="M97" s="6"/>
      <c r="N97" s="6"/>
      <c r="O97" s="6"/>
      <c r="P97" s="6"/>
      <c r="Q97" s="6"/>
      <c r="R97" s="6" t="n">
        <v>3</v>
      </c>
    </row>
    <row r="98" customFormat="false" ht="15" hidden="false" customHeight="false" outlineLevel="0" collapsed="false">
      <c r="A98" s="5" t="s">
        <v>743</v>
      </c>
      <c r="B98" s="5" t="s">
        <v>137</v>
      </c>
      <c r="C98" s="6" t="n">
        <v>4</v>
      </c>
      <c r="D98" s="6"/>
      <c r="E98" s="6"/>
      <c r="F98" s="6"/>
      <c r="G98" s="6" t="n">
        <v>5</v>
      </c>
      <c r="H98" s="6"/>
      <c r="I98" s="6"/>
      <c r="J98" s="6" t="n">
        <v>2</v>
      </c>
      <c r="K98" s="6" t="n">
        <v>3</v>
      </c>
      <c r="L98" s="6" t="n">
        <v>5</v>
      </c>
      <c r="M98" s="6"/>
      <c r="N98" s="6"/>
      <c r="O98" s="6"/>
      <c r="P98" s="6"/>
      <c r="Q98" s="6"/>
      <c r="R98" s="6"/>
    </row>
    <row r="99" customFormat="false" ht="15" hidden="false" customHeight="false" outlineLevel="0" collapsed="false">
      <c r="A99" s="5" t="s">
        <v>748</v>
      </c>
      <c r="B99" s="5" t="s">
        <v>749</v>
      </c>
      <c r="C99" s="6" t="n">
        <v>4</v>
      </c>
      <c r="D99" s="6"/>
      <c r="E99" s="6"/>
      <c r="F99" s="6"/>
      <c r="G99" s="6" t="n">
        <v>4</v>
      </c>
      <c r="H99" s="6"/>
      <c r="I99" s="6"/>
      <c r="J99" s="6"/>
      <c r="K99" s="6" t="n">
        <v>4</v>
      </c>
      <c r="L99" s="6"/>
      <c r="M99" s="6" t="n">
        <v>4</v>
      </c>
      <c r="N99" s="6" t="n">
        <v>2</v>
      </c>
      <c r="O99" s="6"/>
      <c r="P99" s="6"/>
      <c r="Q99" s="6"/>
      <c r="R99" s="6"/>
    </row>
    <row r="100" customFormat="false" ht="15" hidden="false" customHeight="false" outlineLevel="0" collapsed="false">
      <c r="A100" s="5" t="s">
        <v>754</v>
      </c>
      <c r="B100" s="5" t="s">
        <v>755</v>
      </c>
      <c r="C100" s="6" t="n">
        <v>3</v>
      </c>
      <c r="D100" s="6"/>
      <c r="E100" s="6"/>
      <c r="F100" s="6" t="n">
        <v>2</v>
      </c>
      <c r="G100" s="6" t="n">
        <v>4</v>
      </c>
      <c r="H100" s="6" t="n">
        <v>3</v>
      </c>
      <c r="I100" s="6" t="n">
        <v>4</v>
      </c>
      <c r="J100" s="6"/>
      <c r="K100" s="6"/>
      <c r="L100" s="6"/>
      <c r="M100" s="6"/>
      <c r="N100" s="6"/>
      <c r="O100" s="6"/>
      <c r="P100" s="6" t="n">
        <v>2</v>
      </c>
      <c r="Q100" s="6"/>
      <c r="R100" s="6"/>
    </row>
    <row r="101" customFormat="false" ht="15" hidden="false" customHeight="false" outlineLevel="0" collapsed="false">
      <c r="A101" s="5" t="s">
        <v>761</v>
      </c>
      <c r="B101" s="5" t="s">
        <v>762</v>
      </c>
      <c r="C101" s="6" t="n">
        <v>5</v>
      </c>
      <c r="D101" s="6"/>
      <c r="E101" s="6"/>
      <c r="F101" s="6"/>
      <c r="G101" s="6" t="n">
        <v>4</v>
      </c>
      <c r="H101" s="6"/>
      <c r="I101" s="6"/>
      <c r="J101" s="6"/>
      <c r="K101" s="6" t="n">
        <v>4</v>
      </c>
      <c r="L101" s="6"/>
      <c r="M101" s="6" t="n">
        <v>3</v>
      </c>
      <c r="N101" s="6" t="n">
        <v>2</v>
      </c>
      <c r="O101" s="6"/>
      <c r="P101" s="6"/>
      <c r="Q101" s="6"/>
      <c r="R101" s="6"/>
    </row>
    <row r="102" customFormat="false" ht="15" hidden="false" customHeight="false" outlineLevel="0" collapsed="false">
      <c r="A102" s="5" t="s">
        <v>767</v>
      </c>
      <c r="B102" s="5" t="s">
        <v>768</v>
      </c>
      <c r="C102" s="6"/>
      <c r="D102" s="6" t="n">
        <v>1</v>
      </c>
      <c r="E102" s="6"/>
      <c r="F102" s="6"/>
      <c r="G102" s="6"/>
      <c r="H102" s="6"/>
      <c r="I102" s="6"/>
      <c r="J102" s="6"/>
      <c r="K102" s="6" t="n">
        <v>1</v>
      </c>
      <c r="L102" s="6" t="n">
        <v>3</v>
      </c>
      <c r="M102" s="6"/>
      <c r="N102" s="6"/>
      <c r="O102" s="6"/>
      <c r="P102" s="6"/>
      <c r="Q102" s="6" t="n">
        <v>4</v>
      </c>
      <c r="R102" s="6"/>
    </row>
    <row r="103" customFormat="false" ht="15" hidden="false" customHeight="false" outlineLevel="0" collapsed="false">
      <c r="A103" s="5" t="s">
        <v>773</v>
      </c>
      <c r="B103" s="5" t="s">
        <v>774</v>
      </c>
      <c r="C103" s="6" t="n">
        <v>2</v>
      </c>
      <c r="D103" s="6"/>
      <c r="E103" s="6"/>
      <c r="F103" s="6"/>
      <c r="G103" s="6"/>
      <c r="H103" s="6" t="n">
        <v>2</v>
      </c>
      <c r="I103" s="6"/>
      <c r="J103" s="6" t="n">
        <v>3</v>
      </c>
      <c r="K103" s="6"/>
      <c r="L103" s="6"/>
      <c r="M103" s="6"/>
      <c r="N103" s="6"/>
      <c r="O103" s="6"/>
      <c r="P103" s="6"/>
      <c r="Q103" s="6"/>
      <c r="R103" s="6" t="n">
        <v>4</v>
      </c>
    </row>
    <row r="104" customFormat="false" ht="15" hidden="false" customHeight="false" outlineLevel="0" collapsed="false">
      <c r="A104" s="5" t="s">
        <v>779</v>
      </c>
      <c r="B104" s="5" t="s">
        <v>780</v>
      </c>
      <c r="C104" s="6"/>
      <c r="D104" s="6"/>
      <c r="E104" s="6"/>
      <c r="F104" s="6"/>
      <c r="G104" s="6"/>
      <c r="H104" s="6"/>
      <c r="I104" s="6"/>
      <c r="J104" s="6"/>
      <c r="K104" s="6" t="n">
        <v>1</v>
      </c>
      <c r="L104" s="6" t="n">
        <v>3</v>
      </c>
      <c r="M104" s="6"/>
      <c r="N104" s="6"/>
      <c r="O104" s="6" t="n">
        <v>2</v>
      </c>
      <c r="P104" s="6"/>
      <c r="Q104" s="6" t="n">
        <v>4</v>
      </c>
      <c r="R104" s="6"/>
    </row>
    <row r="105" customFormat="false" ht="15" hidden="false" customHeight="false" outlineLevel="0" collapsed="false">
      <c r="A105" s="5" t="s">
        <v>784</v>
      </c>
      <c r="B105" s="5" t="s">
        <v>785</v>
      </c>
      <c r="C105" s="6" t="n">
        <v>4</v>
      </c>
      <c r="D105" s="6"/>
      <c r="E105" s="6"/>
      <c r="F105" s="6"/>
      <c r="G105" s="6" t="n">
        <v>5</v>
      </c>
      <c r="H105" s="6"/>
      <c r="I105" s="6"/>
      <c r="J105" s="6"/>
      <c r="K105" s="6" t="n">
        <v>4</v>
      </c>
      <c r="L105" s="6"/>
      <c r="M105" s="6" t="n">
        <v>5</v>
      </c>
      <c r="N105" s="6" t="n">
        <v>2</v>
      </c>
      <c r="O105" s="6"/>
      <c r="P105" s="6"/>
      <c r="Q105" s="6"/>
      <c r="R105" s="6"/>
    </row>
    <row r="106" customFormat="false" ht="15" hidden="false" customHeight="false" outlineLevel="0" collapsed="false">
      <c r="A106" s="5" t="s">
        <v>791</v>
      </c>
      <c r="B106" s="5" t="s">
        <v>792</v>
      </c>
      <c r="C106" s="6" t="n">
        <v>4</v>
      </c>
      <c r="D106" s="6"/>
      <c r="E106" s="6"/>
      <c r="F106" s="6"/>
      <c r="G106" s="6"/>
      <c r="H106" s="6" t="n">
        <v>3</v>
      </c>
      <c r="I106" s="6" t="n">
        <v>2</v>
      </c>
      <c r="J106" s="6"/>
      <c r="K106" s="6" t="n">
        <v>3</v>
      </c>
      <c r="L106" s="6"/>
      <c r="M106" s="6" t="n">
        <v>5</v>
      </c>
      <c r="N106" s="6"/>
      <c r="O106" s="6"/>
      <c r="P106" s="6"/>
      <c r="Q106" s="6"/>
      <c r="R106" s="6"/>
    </row>
    <row r="107" customFormat="false" ht="15" hidden="false" customHeight="false" outlineLevel="0" collapsed="false">
      <c r="A107" s="5" t="s">
        <v>798</v>
      </c>
      <c r="B107" s="5" t="s">
        <v>799</v>
      </c>
      <c r="C107" s="6" t="n">
        <v>3</v>
      </c>
      <c r="D107" s="6"/>
      <c r="E107" s="6"/>
      <c r="F107" s="6" t="n">
        <v>2</v>
      </c>
      <c r="G107" s="6"/>
      <c r="H107" s="6" t="n">
        <v>4</v>
      </c>
      <c r="I107" s="6" t="n">
        <v>4</v>
      </c>
      <c r="J107" s="6" t="n">
        <v>4</v>
      </c>
      <c r="K107" s="6"/>
      <c r="L107" s="6"/>
      <c r="M107" s="6"/>
      <c r="N107" s="6"/>
      <c r="O107" s="6"/>
      <c r="P107" s="6"/>
      <c r="Q107" s="6"/>
      <c r="R107" s="6"/>
    </row>
    <row r="108" customFormat="false" ht="15" hidden="false" customHeight="false" outlineLevel="0" collapsed="false">
      <c r="A108" s="5" t="s">
        <v>805</v>
      </c>
      <c r="B108" s="5" t="s">
        <v>806</v>
      </c>
      <c r="C108" s="6" t="n">
        <v>4</v>
      </c>
      <c r="D108" s="6"/>
      <c r="E108" s="6"/>
      <c r="F108" s="6"/>
      <c r="G108" s="6" t="n">
        <v>5</v>
      </c>
      <c r="H108" s="6"/>
      <c r="I108" s="6"/>
      <c r="J108" s="6"/>
      <c r="K108" s="6" t="n">
        <v>5</v>
      </c>
      <c r="L108" s="6" t="n">
        <v>4</v>
      </c>
      <c r="M108" s="6"/>
      <c r="N108" s="6"/>
      <c r="O108" s="6"/>
      <c r="P108" s="6"/>
      <c r="Q108" s="6"/>
      <c r="R108" s="6"/>
    </row>
    <row r="109" customFormat="false" ht="15" hidden="false" customHeight="false" outlineLevel="0" collapsed="false">
      <c r="A109" s="5" t="s">
        <v>811</v>
      </c>
      <c r="B109" s="5" t="s">
        <v>812</v>
      </c>
      <c r="C109" s="6"/>
      <c r="D109" s="6" t="n">
        <v>3</v>
      </c>
      <c r="E109" s="6" t="n">
        <v>3</v>
      </c>
      <c r="F109" s="6" t="n">
        <v>4</v>
      </c>
      <c r="G109" s="6" t="n">
        <v>3</v>
      </c>
      <c r="H109" s="6"/>
      <c r="I109" s="6" t="n">
        <v>2</v>
      </c>
      <c r="J109" s="6"/>
      <c r="K109" s="6"/>
      <c r="L109" s="6" t="n">
        <v>1</v>
      </c>
      <c r="M109" s="6"/>
      <c r="N109" s="6"/>
      <c r="O109" s="6"/>
      <c r="P109" s="6"/>
      <c r="Q109" s="6"/>
      <c r="R109" s="6"/>
    </row>
    <row r="110" customFormat="false" ht="15" hidden="false" customHeight="false" outlineLevel="0" collapsed="false">
      <c r="A110" s="5" t="s">
        <v>817</v>
      </c>
      <c r="B110" s="5" t="s">
        <v>818</v>
      </c>
      <c r="C110" s="6" t="n">
        <v>2</v>
      </c>
      <c r="D110" s="6" t="n">
        <v>3</v>
      </c>
      <c r="E110" s="6"/>
      <c r="F110" s="6"/>
      <c r="G110" s="6" t="n">
        <v>4</v>
      </c>
      <c r="H110" s="6"/>
      <c r="I110" s="6"/>
      <c r="J110" s="6"/>
      <c r="K110" s="6"/>
      <c r="L110" s="6"/>
      <c r="M110" s="6" t="n">
        <v>1</v>
      </c>
      <c r="N110" s="6"/>
      <c r="O110" s="6"/>
      <c r="P110" s="6" t="n">
        <v>4</v>
      </c>
      <c r="Q110" s="6"/>
      <c r="R110" s="6"/>
    </row>
    <row r="111" customFormat="false" ht="15" hidden="false" customHeight="false" outlineLevel="0" collapsed="false">
      <c r="A111" s="5" t="s">
        <v>824</v>
      </c>
      <c r="B111" s="5" t="s">
        <v>825</v>
      </c>
      <c r="C111" s="6" t="n">
        <v>5</v>
      </c>
      <c r="D111" s="6"/>
      <c r="E111" s="6"/>
      <c r="F111" s="6"/>
      <c r="G111" s="6" t="n">
        <v>4</v>
      </c>
      <c r="H111" s="6" t="n">
        <v>2</v>
      </c>
      <c r="I111" s="6"/>
      <c r="J111" s="6"/>
      <c r="K111" s="6" t="n">
        <v>5</v>
      </c>
      <c r="L111" s="6"/>
      <c r="M111" s="6" t="n">
        <v>4</v>
      </c>
      <c r="N111" s="6" t="n">
        <v>2</v>
      </c>
      <c r="O111" s="6"/>
      <c r="P111" s="6"/>
      <c r="Q111" s="6"/>
      <c r="R111" s="6"/>
    </row>
    <row r="112" customFormat="false" ht="15" hidden="false" customHeight="false" outlineLevel="0" collapsed="false">
      <c r="A112" s="5" t="s">
        <v>831</v>
      </c>
      <c r="B112" s="5" t="s">
        <v>832</v>
      </c>
      <c r="C112" s="6" t="n">
        <v>3</v>
      </c>
      <c r="D112" s="6"/>
      <c r="E112" s="6"/>
      <c r="F112" s="6" t="n">
        <v>2</v>
      </c>
      <c r="G112" s="6" t="n">
        <v>4</v>
      </c>
      <c r="H112" s="6" t="n">
        <v>3</v>
      </c>
      <c r="I112" s="6" t="n">
        <v>2</v>
      </c>
      <c r="J112" s="6"/>
      <c r="K112" s="6"/>
      <c r="L112" s="6"/>
      <c r="M112" s="6"/>
      <c r="N112" s="6"/>
      <c r="O112" s="6"/>
      <c r="P112" s="6" t="n">
        <v>1</v>
      </c>
      <c r="Q112" s="6"/>
      <c r="R112" s="6"/>
    </row>
    <row r="113" customFormat="false" ht="15" hidden="false" customHeight="false" outlineLevel="0" collapsed="false">
      <c r="A113" s="5" t="s">
        <v>837</v>
      </c>
      <c r="B113" s="5" t="s">
        <v>838</v>
      </c>
      <c r="C113" s="6"/>
      <c r="D113" s="6" t="n">
        <v>3</v>
      </c>
      <c r="E113" s="6" t="n">
        <v>2</v>
      </c>
      <c r="F113" s="6"/>
      <c r="G113" s="6"/>
      <c r="H113" s="6"/>
      <c r="I113" s="6"/>
      <c r="J113" s="6"/>
      <c r="K113" s="6"/>
      <c r="L113" s="6"/>
      <c r="M113" s="6"/>
      <c r="N113" s="6"/>
      <c r="O113" s="6" t="n">
        <v>5</v>
      </c>
      <c r="P113" s="6"/>
      <c r="Q113" s="6"/>
      <c r="R113" s="6"/>
    </row>
    <row r="114" customFormat="false" ht="15" hidden="false" customHeight="false" outlineLevel="0" collapsed="false">
      <c r="A114" s="5" t="s">
        <v>842</v>
      </c>
      <c r="B114" s="5" t="s">
        <v>843</v>
      </c>
      <c r="C114" s="6"/>
      <c r="D114" s="6" t="n">
        <v>4</v>
      </c>
      <c r="E114" s="6" t="n">
        <v>5</v>
      </c>
      <c r="F114" s="6"/>
      <c r="G114" s="6"/>
      <c r="H114" s="6"/>
      <c r="I114" s="6"/>
      <c r="J114" s="6" t="n">
        <v>2</v>
      </c>
      <c r="K114" s="6"/>
      <c r="L114" s="6"/>
      <c r="M114" s="6"/>
      <c r="N114" s="6"/>
      <c r="O114" s="6" t="n">
        <v>3</v>
      </c>
      <c r="P114" s="6" t="n">
        <v>2</v>
      </c>
      <c r="Q114" s="6"/>
      <c r="R114" s="6"/>
    </row>
    <row r="115" customFormat="false" ht="15" hidden="false" customHeight="false" outlineLevel="0" collapsed="false">
      <c r="A115" s="5" t="s">
        <v>849</v>
      </c>
      <c r="B115" s="5" t="s">
        <v>850</v>
      </c>
      <c r="C115" s="6" t="n">
        <v>5</v>
      </c>
      <c r="D115" s="6"/>
      <c r="E115" s="6"/>
      <c r="F115" s="6"/>
      <c r="G115" s="6" t="n">
        <v>4</v>
      </c>
      <c r="H115" s="6"/>
      <c r="I115" s="6"/>
      <c r="J115" s="6"/>
      <c r="K115" s="6" t="n">
        <v>4</v>
      </c>
      <c r="L115" s="6"/>
      <c r="M115" s="6" t="n">
        <v>4</v>
      </c>
      <c r="N115" s="6" t="n">
        <v>2</v>
      </c>
      <c r="O115" s="6"/>
      <c r="P115" s="6"/>
      <c r="Q115" s="6"/>
      <c r="R115" s="6"/>
    </row>
    <row r="116" customFormat="false" ht="15" hidden="false" customHeight="false" outlineLevel="0" collapsed="false">
      <c r="A116" s="5" t="s">
        <v>855</v>
      </c>
      <c r="B116" s="5" t="s">
        <v>856</v>
      </c>
      <c r="C116" s="6"/>
      <c r="D116" s="6" t="n">
        <v>3</v>
      </c>
      <c r="E116" s="6" t="n">
        <v>4</v>
      </c>
      <c r="F116" s="6" t="n">
        <v>4</v>
      </c>
      <c r="G116" s="6" t="n">
        <v>3</v>
      </c>
      <c r="H116" s="6" t="n">
        <v>1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customFormat="false" ht="15" hidden="false" customHeight="false" outlineLevel="0" collapsed="false">
      <c r="A117" s="5" t="s">
        <v>862</v>
      </c>
      <c r="B117" s="5" t="s">
        <v>863</v>
      </c>
      <c r="C117" s="6"/>
      <c r="D117" s="6" t="n">
        <v>4</v>
      </c>
      <c r="E117" s="6" t="n">
        <v>4</v>
      </c>
      <c r="F117" s="6" t="n">
        <v>3</v>
      </c>
      <c r="G117" s="6" t="n">
        <v>4</v>
      </c>
      <c r="H117" s="6"/>
      <c r="I117" s="6" t="n">
        <v>3</v>
      </c>
      <c r="J117" s="6"/>
      <c r="K117" s="6"/>
      <c r="L117" s="6"/>
      <c r="M117" s="6"/>
      <c r="N117" s="6"/>
      <c r="O117" s="6"/>
      <c r="P117" s="6"/>
      <c r="Q117" s="6" t="n">
        <v>2</v>
      </c>
      <c r="R117" s="6"/>
    </row>
    <row r="118" customFormat="false" ht="15" hidden="false" customHeight="false" outlineLevel="0" collapsed="false">
      <c r="A118" s="5" t="s">
        <v>868</v>
      </c>
      <c r="B118" s="5" t="s">
        <v>148</v>
      </c>
      <c r="C118" s="6" t="n">
        <v>4</v>
      </c>
      <c r="D118" s="6"/>
      <c r="E118" s="6"/>
      <c r="F118" s="6"/>
      <c r="G118" s="6"/>
      <c r="H118" s="6" t="n">
        <v>2</v>
      </c>
      <c r="I118" s="6" t="n">
        <v>3</v>
      </c>
      <c r="J118" s="6"/>
      <c r="K118" s="6" t="n">
        <v>3</v>
      </c>
      <c r="L118" s="6" t="n">
        <v>2</v>
      </c>
      <c r="M118" s="6" t="n">
        <v>5</v>
      </c>
      <c r="N118" s="6"/>
      <c r="O118" s="6"/>
      <c r="P118" s="6"/>
      <c r="Q118" s="6"/>
      <c r="R118" s="6"/>
    </row>
    <row r="119" customFormat="false" ht="15" hidden="false" customHeight="false" outlineLevel="0" collapsed="false">
      <c r="A119" s="5" t="s">
        <v>875</v>
      </c>
      <c r="B119" s="5" t="s">
        <v>876</v>
      </c>
      <c r="C119" s="6" t="n">
        <v>2</v>
      </c>
      <c r="D119" s="6" t="n">
        <v>4</v>
      </c>
      <c r="E119" s="6"/>
      <c r="F119" s="6"/>
      <c r="G119" s="6" t="n">
        <v>3</v>
      </c>
      <c r="H119" s="6"/>
      <c r="I119" s="6"/>
      <c r="J119" s="6"/>
      <c r="K119" s="6"/>
      <c r="L119" s="6"/>
      <c r="M119" s="6"/>
      <c r="N119" s="6"/>
      <c r="O119" s="6"/>
      <c r="P119" s="6" t="n">
        <v>5</v>
      </c>
      <c r="Q119" s="6"/>
      <c r="R119" s="6"/>
    </row>
    <row r="120" customFormat="false" ht="15" hidden="false" customHeight="false" outlineLevel="0" collapsed="false">
      <c r="A120" s="5" t="s">
        <v>879</v>
      </c>
      <c r="B120" s="5" t="s">
        <v>880</v>
      </c>
      <c r="C120" s="6" t="n">
        <v>2</v>
      </c>
      <c r="D120" s="6" t="n">
        <v>4</v>
      </c>
      <c r="E120" s="6" t="n">
        <v>3</v>
      </c>
      <c r="F120" s="6" t="n">
        <v>3</v>
      </c>
      <c r="G120" s="6" t="n">
        <v>4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customFormat="false" ht="15" hidden="false" customHeight="false" outlineLevel="0" collapsed="false">
      <c r="A121" s="5" t="s">
        <v>885</v>
      </c>
      <c r="B121" s="5" t="s">
        <v>886</v>
      </c>
      <c r="C121" s="6" t="n">
        <v>3</v>
      </c>
      <c r="D121" s="6"/>
      <c r="E121" s="6"/>
      <c r="F121" s="6"/>
      <c r="G121" s="6" t="n">
        <v>5</v>
      </c>
      <c r="H121" s="6"/>
      <c r="I121" s="6"/>
      <c r="J121" s="6"/>
      <c r="K121" s="6" t="n">
        <v>4</v>
      </c>
      <c r="L121" s="6" t="n">
        <v>5</v>
      </c>
      <c r="M121" s="6"/>
      <c r="N121" s="6"/>
      <c r="O121" s="6"/>
      <c r="P121" s="6"/>
      <c r="Q121" s="6"/>
      <c r="R121" s="6"/>
    </row>
  </sheetData>
  <autoFilter ref="A1:R121"/>
  <conditionalFormatting sqref="C2:R121">
    <cfRule type="colorScale" priority="2">
      <colorScale>
        <cfvo type="num" val="1"/>
        <cfvo type="num" val="5"/>
        <color rgb="FFFFFFFF"/>
        <color rgb="FF2F75B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9" min="8" style="0" width="10"/>
  </cols>
  <sheetData>
    <row r="1" customFormat="false" ht="33.75" hidden="false" customHeight="true" outlineLevel="0" collapsed="false">
      <c r="A1" s="4" t="s">
        <v>906</v>
      </c>
      <c r="B1" s="4" t="s">
        <v>11</v>
      </c>
      <c r="C1" s="4" t="s">
        <v>907</v>
      </c>
      <c r="D1" s="4" t="s">
        <v>908</v>
      </c>
      <c r="E1" s="4" t="s">
        <v>909</v>
      </c>
      <c r="F1" s="4" t="s">
        <v>910</v>
      </c>
      <c r="G1" s="4" t="s">
        <v>911</v>
      </c>
      <c r="H1" s="4" t="s">
        <v>912</v>
      </c>
      <c r="I1" s="4" t="s">
        <v>913</v>
      </c>
    </row>
    <row r="2" customFormat="false" ht="15" hidden="false" customHeight="false" outlineLevel="0" collapsed="false">
      <c r="A2" s="5" t="s">
        <v>914</v>
      </c>
      <c r="B2" s="5" t="s">
        <v>37</v>
      </c>
      <c r="C2" s="5" t="s">
        <v>38</v>
      </c>
      <c r="D2" s="5" t="s">
        <v>915</v>
      </c>
      <c r="E2" s="5" t="s">
        <v>916</v>
      </c>
      <c r="F2" s="5" t="s">
        <v>917</v>
      </c>
      <c r="G2" s="5" t="n">
        <v>15</v>
      </c>
      <c r="H2" s="5" t="s">
        <v>918</v>
      </c>
      <c r="I2" s="5" t="s">
        <v>919</v>
      </c>
    </row>
    <row r="3" customFormat="false" ht="15" hidden="false" customHeight="false" outlineLevel="0" collapsed="false">
      <c r="A3" s="5" t="s">
        <v>920</v>
      </c>
      <c r="B3" s="5" t="s">
        <v>37</v>
      </c>
      <c r="C3" s="5" t="s">
        <v>38</v>
      </c>
      <c r="D3" s="5" t="s">
        <v>921</v>
      </c>
      <c r="E3" s="5" t="s">
        <v>922</v>
      </c>
      <c r="F3" s="5" t="s">
        <v>923</v>
      </c>
      <c r="G3" s="5" t="n">
        <v>17</v>
      </c>
      <c r="H3" s="5" t="s">
        <v>924</v>
      </c>
      <c r="I3" s="5" t="s">
        <v>919</v>
      </c>
    </row>
    <row r="4" customFormat="false" ht="15" hidden="false" customHeight="false" outlineLevel="0" collapsed="false">
      <c r="A4" s="5" t="s">
        <v>925</v>
      </c>
      <c r="B4" s="5" t="s">
        <v>51</v>
      </c>
      <c r="C4" s="5" t="s">
        <v>52</v>
      </c>
      <c r="D4" s="5" t="s">
        <v>915</v>
      </c>
      <c r="E4" s="5" t="s">
        <v>916</v>
      </c>
      <c r="F4" s="5" t="s">
        <v>917</v>
      </c>
      <c r="G4" s="5" t="n">
        <v>21</v>
      </c>
      <c r="H4" s="5" t="s">
        <v>918</v>
      </c>
      <c r="I4" s="5" t="s">
        <v>919</v>
      </c>
    </row>
    <row r="5" customFormat="false" ht="15" hidden="false" customHeight="false" outlineLevel="0" collapsed="false">
      <c r="A5" s="5" t="s">
        <v>926</v>
      </c>
      <c r="B5" s="5" t="s">
        <v>51</v>
      </c>
      <c r="C5" s="5" t="s">
        <v>52</v>
      </c>
      <c r="D5" s="5" t="s">
        <v>927</v>
      </c>
      <c r="E5" s="5" t="s">
        <v>928</v>
      </c>
      <c r="F5" s="5" t="s">
        <v>929</v>
      </c>
      <c r="G5" s="5" t="n">
        <v>13</v>
      </c>
      <c r="H5" s="5" t="s">
        <v>924</v>
      </c>
      <c r="I5" s="5" t="s">
        <v>919</v>
      </c>
    </row>
    <row r="6" customFormat="false" ht="15" hidden="false" customHeight="false" outlineLevel="0" collapsed="false">
      <c r="A6" s="5" t="s">
        <v>930</v>
      </c>
      <c r="B6" s="5" t="s">
        <v>60</v>
      </c>
      <c r="C6" s="5" t="s">
        <v>61</v>
      </c>
      <c r="D6" s="5" t="s">
        <v>915</v>
      </c>
      <c r="E6" s="5" t="s">
        <v>916</v>
      </c>
      <c r="F6" s="5" t="s">
        <v>917</v>
      </c>
      <c r="G6" s="5" t="n">
        <v>8</v>
      </c>
      <c r="H6" s="5" t="s">
        <v>931</v>
      </c>
      <c r="I6" s="5" t="s">
        <v>919</v>
      </c>
    </row>
    <row r="7" customFormat="false" ht="15" hidden="false" customHeight="false" outlineLevel="0" collapsed="false">
      <c r="A7" s="5" t="s">
        <v>932</v>
      </c>
      <c r="B7" s="5" t="s">
        <v>60</v>
      </c>
      <c r="C7" s="5" t="s">
        <v>61</v>
      </c>
      <c r="D7" s="5" t="s">
        <v>927</v>
      </c>
      <c r="E7" s="5" t="s">
        <v>928</v>
      </c>
      <c r="F7" s="5" t="s">
        <v>929</v>
      </c>
      <c r="G7" s="5" t="n">
        <v>24</v>
      </c>
      <c r="H7" s="5" t="s">
        <v>924</v>
      </c>
      <c r="I7" s="5" t="s">
        <v>933</v>
      </c>
    </row>
    <row r="8" customFormat="false" ht="15" hidden="false" customHeight="false" outlineLevel="0" collapsed="false">
      <c r="A8" s="5" t="s">
        <v>934</v>
      </c>
      <c r="B8" s="5" t="s">
        <v>73</v>
      </c>
      <c r="C8" s="5" t="s">
        <v>74</v>
      </c>
      <c r="D8" s="5" t="s">
        <v>915</v>
      </c>
      <c r="E8" s="5" t="s">
        <v>916</v>
      </c>
      <c r="F8" s="5" t="s">
        <v>935</v>
      </c>
      <c r="G8" s="5" t="n">
        <v>5</v>
      </c>
      <c r="H8" s="5" t="s">
        <v>931</v>
      </c>
      <c r="I8" s="5" t="s">
        <v>933</v>
      </c>
    </row>
    <row r="9" customFormat="false" ht="15" hidden="false" customHeight="false" outlineLevel="0" collapsed="false">
      <c r="A9" s="5" t="s">
        <v>936</v>
      </c>
      <c r="B9" s="5" t="s">
        <v>73</v>
      </c>
      <c r="C9" s="5" t="s">
        <v>74</v>
      </c>
      <c r="D9" s="5" t="s">
        <v>927</v>
      </c>
      <c r="E9" s="5" t="s">
        <v>928</v>
      </c>
      <c r="F9" s="5" t="s">
        <v>937</v>
      </c>
      <c r="G9" s="5" t="n">
        <v>19</v>
      </c>
      <c r="H9" s="5" t="s">
        <v>924</v>
      </c>
      <c r="I9" s="5" t="s">
        <v>933</v>
      </c>
    </row>
    <row r="10" customFormat="false" ht="15" hidden="false" customHeight="false" outlineLevel="0" collapsed="false">
      <c r="A10" s="5" t="s">
        <v>938</v>
      </c>
      <c r="B10" s="5" t="s">
        <v>80</v>
      </c>
      <c r="C10" s="5" t="s">
        <v>81</v>
      </c>
      <c r="D10" s="5" t="s">
        <v>927</v>
      </c>
      <c r="E10" s="5" t="s">
        <v>928</v>
      </c>
      <c r="F10" s="5" t="s">
        <v>937</v>
      </c>
      <c r="G10" s="5" t="n">
        <v>17</v>
      </c>
      <c r="H10" s="5" t="s">
        <v>924</v>
      </c>
      <c r="I10" s="5" t="s">
        <v>933</v>
      </c>
    </row>
    <row r="11" customFormat="false" ht="15" hidden="false" customHeight="false" outlineLevel="0" collapsed="false">
      <c r="A11" s="5" t="s">
        <v>939</v>
      </c>
      <c r="B11" s="5" t="s">
        <v>80</v>
      </c>
      <c r="C11" s="5" t="s">
        <v>81</v>
      </c>
      <c r="D11" s="5" t="s">
        <v>915</v>
      </c>
      <c r="E11" s="5" t="s">
        <v>916</v>
      </c>
      <c r="F11" s="5" t="s">
        <v>940</v>
      </c>
      <c r="G11" s="5" t="n">
        <v>17</v>
      </c>
      <c r="H11" s="5" t="s">
        <v>931</v>
      </c>
      <c r="I11" s="5" t="s">
        <v>919</v>
      </c>
    </row>
    <row r="12" customFormat="false" ht="15" hidden="false" customHeight="false" outlineLevel="0" collapsed="false">
      <c r="A12" s="5" t="s">
        <v>941</v>
      </c>
      <c r="B12" s="5" t="s">
        <v>90</v>
      </c>
      <c r="C12" s="5" t="s">
        <v>91</v>
      </c>
      <c r="D12" s="5" t="s">
        <v>942</v>
      </c>
      <c r="E12" s="5" t="s">
        <v>943</v>
      </c>
      <c r="F12" s="5" t="s">
        <v>944</v>
      </c>
      <c r="G12" s="5" t="n">
        <v>10</v>
      </c>
      <c r="H12" s="5" t="s">
        <v>924</v>
      </c>
      <c r="I12" s="5" t="s">
        <v>919</v>
      </c>
    </row>
    <row r="13" customFormat="false" ht="15" hidden="false" customHeight="false" outlineLevel="0" collapsed="false">
      <c r="A13" s="5" t="s">
        <v>945</v>
      </c>
      <c r="B13" s="5" t="s">
        <v>90</v>
      </c>
      <c r="C13" s="5" t="s">
        <v>91</v>
      </c>
      <c r="D13" s="5" t="s">
        <v>946</v>
      </c>
      <c r="E13" s="5" t="s">
        <v>947</v>
      </c>
      <c r="F13" s="5" t="s">
        <v>948</v>
      </c>
      <c r="G13" s="5" t="n">
        <v>6</v>
      </c>
      <c r="H13" s="5" t="s">
        <v>918</v>
      </c>
      <c r="I13" s="5" t="s">
        <v>919</v>
      </c>
    </row>
    <row r="14" customFormat="false" ht="15" hidden="false" customHeight="false" outlineLevel="0" collapsed="false">
      <c r="A14" s="5" t="s">
        <v>949</v>
      </c>
      <c r="B14" s="5" t="s">
        <v>90</v>
      </c>
      <c r="C14" s="5" t="s">
        <v>91</v>
      </c>
      <c r="D14" s="5" t="s">
        <v>927</v>
      </c>
      <c r="E14" s="5" t="s">
        <v>928</v>
      </c>
      <c r="F14" s="5" t="s">
        <v>937</v>
      </c>
      <c r="G14" s="5" t="n">
        <v>12</v>
      </c>
      <c r="H14" s="5" t="s">
        <v>924</v>
      </c>
      <c r="I14" s="5" t="s">
        <v>919</v>
      </c>
    </row>
    <row r="15" customFormat="false" ht="15" hidden="false" customHeight="false" outlineLevel="0" collapsed="false">
      <c r="A15" s="5" t="s">
        <v>950</v>
      </c>
      <c r="B15" s="5" t="s">
        <v>102</v>
      </c>
      <c r="C15" s="5" t="s">
        <v>103</v>
      </c>
      <c r="D15" s="5" t="s">
        <v>951</v>
      </c>
      <c r="E15" s="5" t="s">
        <v>952</v>
      </c>
      <c r="F15" s="5" t="s">
        <v>953</v>
      </c>
      <c r="G15" s="5" t="n">
        <v>4</v>
      </c>
      <c r="H15" s="5" t="s">
        <v>931</v>
      </c>
      <c r="I15" s="5" t="s">
        <v>919</v>
      </c>
    </row>
    <row r="16" customFormat="false" ht="15" hidden="false" customHeight="false" outlineLevel="0" collapsed="false">
      <c r="A16" s="5" t="s">
        <v>954</v>
      </c>
      <c r="B16" s="5" t="s">
        <v>102</v>
      </c>
      <c r="C16" s="5" t="s">
        <v>103</v>
      </c>
      <c r="D16" s="5" t="s">
        <v>927</v>
      </c>
      <c r="E16" s="5" t="s">
        <v>928</v>
      </c>
      <c r="F16" s="5" t="s">
        <v>929</v>
      </c>
      <c r="G16" s="5" t="n">
        <v>14</v>
      </c>
      <c r="H16" s="5" t="s">
        <v>931</v>
      </c>
      <c r="I16" s="5" t="s">
        <v>919</v>
      </c>
    </row>
    <row r="17" customFormat="false" ht="15" hidden="false" customHeight="false" outlineLevel="0" collapsed="false">
      <c r="A17" s="5" t="s">
        <v>955</v>
      </c>
      <c r="B17" s="5" t="s">
        <v>102</v>
      </c>
      <c r="C17" s="5" t="s">
        <v>103</v>
      </c>
      <c r="D17" s="5" t="s">
        <v>915</v>
      </c>
      <c r="E17" s="5" t="s">
        <v>916</v>
      </c>
      <c r="F17" s="5" t="s">
        <v>917</v>
      </c>
      <c r="G17" s="5" t="n">
        <v>14</v>
      </c>
      <c r="H17" s="5" t="s">
        <v>931</v>
      </c>
      <c r="I17" s="5" t="s">
        <v>919</v>
      </c>
    </row>
    <row r="18" customFormat="false" ht="15" hidden="false" customHeight="false" outlineLevel="0" collapsed="false">
      <c r="A18" s="5" t="s">
        <v>956</v>
      </c>
      <c r="B18" s="5" t="s">
        <v>110</v>
      </c>
      <c r="C18" s="5" t="s">
        <v>111</v>
      </c>
      <c r="D18" s="5" t="s">
        <v>915</v>
      </c>
      <c r="E18" s="5" t="s">
        <v>916</v>
      </c>
      <c r="F18" s="5" t="s">
        <v>917</v>
      </c>
      <c r="G18" s="5" t="n">
        <v>16</v>
      </c>
      <c r="H18" s="5" t="s">
        <v>931</v>
      </c>
      <c r="I18" s="5" t="s">
        <v>919</v>
      </c>
    </row>
    <row r="19" customFormat="false" ht="15" hidden="false" customHeight="false" outlineLevel="0" collapsed="false">
      <c r="A19" s="5" t="s">
        <v>957</v>
      </c>
      <c r="B19" s="5" t="s">
        <v>110</v>
      </c>
      <c r="C19" s="5" t="s">
        <v>111</v>
      </c>
      <c r="D19" s="5" t="s">
        <v>927</v>
      </c>
      <c r="E19" s="5" t="s">
        <v>928</v>
      </c>
      <c r="F19" s="5" t="s">
        <v>958</v>
      </c>
      <c r="G19" s="5" t="n">
        <v>5</v>
      </c>
      <c r="H19" s="5" t="s">
        <v>931</v>
      </c>
      <c r="I19" s="5" t="s">
        <v>919</v>
      </c>
    </row>
    <row r="20" customFormat="false" ht="15" hidden="false" customHeight="false" outlineLevel="0" collapsed="false">
      <c r="A20" s="5" t="s">
        <v>959</v>
      </c>
      <c r="B20" s="5" t="s">
        <v>110</v>
      </c>
      <c r="C20" s="5" t="s">
        <v>111</v>
      </c>
      <c r="D20" s="5" t="s">
        <v>951</v>
      </c>
      <c r="E20" s="5" t="s">
        <v>952</v>
      </c>
      <c r="F20" s="5" t="s">
        <v>960</v>
      </c>
      <c r="G20" s="5" t="n">
        <v>7</v>
      </c>
      <c r="H20" s="5" t="s">
        <v>931</v>
      </c>
      <c r="I20" s="5" t="s">
        <v>919</v>
      </c>
    </row>
    <row r="21" customFormat="false" ht="15" hidden="false" customHeight="false" outlineLevel="0" collapsed="false">
      <c r="A21" s="5" t="s">
        <v>961</v>
      </c>
      <c r="B21" s="5" t="s">
        <v>117</v>
      </c>
      <c r="C21" s="5" t="s">
        <v>96</v>
      </c>
      <c r="D21" s="5" t="s">
        <v>942</v>
      </c>
      <c r="E21" s="5" t="s">
        <v>943</v>
      </c>
      <c r="F21" s="5" t="s">
        <v>962</v>
      </c>
      <c r="G21" s="5" t="n">
        <v>8</v>
      </c>
      <c r="H21" s="5" t="s">
        <v>924</v>
      </c>
      <c r="I21" s="5" t="s">
        <v>919</v>
      </c>
    </row>
    <row r="22" customFormat="false" ht="15" hidden="false" customHeight="false" outlineLevel="0" collapsed="false">
      <c r="A22" s="5" t="s">
        <v>963</v>
      </c>
      <c r="B22" s="5" t="s">
        <v>117</v>
      </c>
      <c r="C22" s="5" t="s">
        <v>96</v>
      </c>
      <c r="D22" s="5" t="s">
        <v>946</v>
      </c>
      <c r="E22" s="5" t="s">
        <v>947</v>
      </c>
      <c r="F22" s="5" t="s">
        <v>964</v>
      </c>
      <c r="G22" s="5" t="n">
        <v>18</v>
      </c>
      <c r="H22" s="5" t="s">
        <v>931</v>
      </c>
      <c r="I22" s="5" t="s">
        <v>933</v>
      </c>
    </row>
    <row r="23" customFormat="false" ht="15" hidden="false" customHeight="false" outlineLevel="0" collapsed="false">
      <c r="A23" s="5" t="s">
        <v>965</v>
      </c>
      <c r="B23" s="5" t="s">
        <v>117</v>
      </c>
      <c r="C23" s="5" t="s">
        <v>96</v>
      </c>
      <c r="D23" s="5" t="s">
        <v>927</v>
      </c>
      <c r="E23" s="5" t="s">
        <v>928</v>
      </c>
      <c r="F23" s="5" t="s">
        <v>958</v>
      </c>
      <c r="G23" s="5" t="n">
        <v>6</v>
      </c>
      <c r="H23" s="5" t="s">
        <v>924</v>
      </c>
      <c r="I23" s="5" t="s">
        <v>919</v>
      </c>
    </row>
    <row r="24" customFormat="false" ht="15" hidden="false" customHeight="false" outlineLevel="0" collapsed="false">
      <c r="A24" s="5" t="s">
        <v>966</v>
      </c>
      <c r="B24" s="5" t="s">
        <v>125</v>
      </c>
      <c r="C24" s="5" t="s">
        <v>65</v>
      </c>
      <c r="D24" s="5" t="s">
        <v>915</v>
      </c>
      <c r="E24" s="5" t="s">
        <v>916</v>
      </c>
      <c r="F24" s="5" t="s">
        <v>935</v>
      </c>
      <c r="G24" s="5" t="n">
        <v>5</v>
      </c>
      <c r="H24" s="5" t="s">
        <v>931</v>
      </c>
      <c r="I24" s="5" t="s">
        <v>933</v>
      </c>
    </row>
    <row r="25" customFormat="false" ht="15" hidden="false" customHeight="false" outlineLevel="0" collapsed="false">
      <c r="A25" s="5" t="s">
        <v>967</v>
      </c>
      <c r="B25" s="5" t="s">
        <v>125</v>
      </c>
      <c r="C25" s="5" t="s">
        <v>65</v>
      </c>
      <c r="D25" s="5" t="s">
        <v>951</v>
      </c>
      <c r="E25" s="5" t="s">
        <v>952</v>
      </c>
      <c r="F25" s="5" t="s">
        <v>968</v>
      </c>
      <c r="G25" s="5" t="n">
        <v>31</v>
      </c>
      <c r="H25" s="5" t="s">
        <v>931</v>
      </c>
      <c r="I25" s="5" t="s">
        <v>933</v>
      </c>
    </row>
    <row r="26" customFormat="false" ht="15" hidden="false" customHeight="false" outlineLevel="0" collapsed="false">
      <c r="A26" s="5" t="s">
        <v>969</v>
      </c>
      <c r="B26" s="5" t="s">
        <v>132</v>
      </c>
      <c r="C26" s="5" t="s">
        <v>133</v>
      </c>
      <c r="D26" s="5" t="s">
        <v>921</v>
      </c>
      <c r="E26" s="5" t="s">
        <v>922</v>
      </c>
      <c r="F26" s="5" t="s">
        <v>970</v>
      </c>
      <c r="G26" s="5" t="n">
        <v>20</v>
      </c>
      <c r="H26" s="5" t="s">
        <v>931</v>
      </c>
      <c r="I26" s="5" t="s">
        <v>919</v>
      </c>
    </row>
    <row r="27" customFormat="false" ht="15" hidden="false" customHeight="false" outlineLevel="0" collapsed="false">
      <c r="A27" s="5" t="s">
        <v>971</v>
      </c>
      <c r="B27" s="5" t="s">
        <v>132</v>
      </c>
      <c r="C27" s="5" t="s">
        <v>133</v>
      </c>
      <c r="D27" s="5" t="s">
        <v>951</v>
      </c>
      <c r="E27" s="5" t="s">
        <v>952</v>
      </c>
      <c r="F27" s="5" t="s">
        <v>972</v>
      </c>
      <c r="G27" s="5" t="n">
        <v>18</v>
      </c>
      <c r="H27" s="5" t="s">
        <v>924</v>
      </c>
      <c r="I27" s="5" t="s">
        <v>933</v>
      </c>
    </row>
    <row r="28" customFormat="false" ht="15" hidden="false" customHeight="false" outlineLevel="0" collapsed="false">
      <c r="A28" s="5" t="s">
        <v>973</v>
      </c>
      <c r="B28" s="5" t="s">
        <v>132</v>
      </c>
      <c r="C28" s="5" t="s">
        <v>133</v>
      </c>
      <c r="D28" s="5" t="s">
        <v>946</v>
      </c>
      <c r="E28" s="5" t="s">
        <v>947</v>
      </c>
      <c r="F28" s="5" t="s">
        <v>974</v>
      </c>
      <c r="G28" s="5" t="n">
        <v>12</v>
      </c>
      <c r="H28" s="5" t="s">
        <v>918</v>
      </c>
      <c r="I28" s="5" t="s">
        <v>919</v>
      </c>
    </row>
    <row r="29" customFormat="false" ht="15" hidden="false" customHeight="false" outlineLevel="0" collapsed="false">
      <c r="A29" s="5" t="s">
        <v>975</v>
      </c>
      <c r="B29" s="5" t="s">
        <v>143</v>
      </c>
      <c r="C29" s="5" t="s">
        <v>144</v>
      </c>
      <c r="D29" s="5" t="s">
        <v>951</v>
      </c>
      <c r="E29" s="5" t="s">
        <v>952</v>
      </c>
      <c r="F29" s="5" t="s">
        <v>953</v>
      </c>
      <c r="G29" s="5" t="n">
        <v>23</v>
      </c>
      <c r="H29" s="5" t="s">
        <v>924</v>
      </c>
      <c r="I29" s="5" t="s">
        <v>933</v>
      </c>
    </row>
    <row r="30" customFormat="false" ht="15" hidden="false" customHeight="false" outlineLevel="0" collapsed="false">
      <c r="A30" s="5" t="s">
        <v>976</v>
      </c>
      <c r="B30" s="5" t="s">
        <v>143</v>
      </c>
      <c r="C30" s="5" t="s">
        <v>144</v>
      </c>
      <c r="D30" s="5" t="s">
        <v>946</v>
      </c>
      <c r="E30" s="5" t="s">
        <v>947</v>
      </c>
      <c r="F30" s="5" t="s">
        <v>977</v>
      </c>
      <c r="G30" s="5" t="n">
        <v>9</v>
      </c>
      <c r="H30" s="5" t="s">
        <v>931</v>
      </c>
      <c r="I30" s="5" t="s">
        <v>919</v>
      </c>
    </row>
    <row r="31" customFormat="false" ht="15" hidden="false" customHeight="false" outlineLevel="0" collapsed="false">
      <c r="A31" s="5" t="s">
        <v>978</v>
      </c>
      <c r="B31" s="5" t="s">
        <v>157</v>
      </c>
      <c r="C31" s="5" t="s">
        <v>158</v>
      </c>
      <c r="D31" s="5" t="s">
        <v>927</v>
      </c>
      <c r="E31" s="5" t="s">
        <v>928</v>
      </c>
      <c r="F31" s="5" t="s">
        <v>929</v>
      </c>
      <c r="G31" s="5" t="n">
        <v>7</v>
      </c>
      <c r="H31" s="5" t="s">
        <v>931</v>
      </c>
      <c r="I31" s="5" t="s">
        <v>919</v>
      </c>
    </row>
    <row r="32" customFormat="false" ht="15" hidden="false" customHeight="false" outlineLevel="0" collapsed="false">
      <c r="A32" s="5" t="s">
        <v>979</v>
      </c>
      <c r="B32" s="5" t="s">
        <v>157</v>
      </c>
      <c r="C32" s="5" t="s">
        <v>158</v>
      </c>
      <c r="D32" s="5" t="s">
        <v>915</v>
      </c>
      <c r="E32" s="5" t="s">
        <v>916</v>
      </c>
      <c r="F32" s="5" t="s">
        <v>940</v>
      </c>
      <c r="G32" s="5" t="n">
        <v>21</v>
      </c>
      <c r="H32" s="5" t="s">
        <v>931</v>
      </c>
      <c r="I32" s="5" t="s">
        <v>919</v>
      </c>
    </row>
    <row r="33" customFormat="false" ht="15" hidden="false" customHeight="false" outlineLevel="0" collapsed="false">
      <c r="A33" s="5" t="s">
        <v>980</v>
      </c>
      <c r="B33" s="5" t="s">
        <v>166</v>
      </c>
      <c r="C33" s="5" t="s">
        <v>43</v>
      </c>
      <c r="D33" s="5" t="s">
        <v>915</v>
      </c>
      <c r="E33" s="5" t="s">
        <v>916</v>
      </c>
      <c r="F33" s="5" t="s">
        <v>917</v>
      </c>
      <c r="G33" s="5" t="n">
        <v>9</v>
      </c>
      <c r="H33" s="5" t="s">
        <v>931</v>
      </c>
      <c r="I33" s="5" t="s">
        <v>919</v>
      </c>
    </row>
    <row r="34" customFormat="false" ht="15" hidden="false" customHeight="false" outlineLevel="0" collapsed="false">
      <c r="A34" s="5" t="s">
        <v>981</v>
      </c>
      <c r="B34" s="5" t="s">
        <v>166</v>
      </c>
      <c r="C34" s="5" t="s">
        <v>43</v>
      </c>
      <c r="D34" s="5" t="s">
        <v>946</v>
      </c>
      <c r="E34" s="5" t="s">
        <v>947</v>
      </c>
      <c r="F34" s="5" t="s">
        <v>977</v>
      </c>
      <c r="G34" s="5" t="n">
        <v>15</v>
      </c>
      <c r="H34" s="5" t="s">
        <v>924</v>
      </c>
      <c r="I34" s="5" t="s">
        <v>933</v>
      </c>
    </row>
    <row r="35" customFormat="false" ht="15" hidden="false" customHeight="false" outlineLevel="0" collapsed="false">
      <c r="A35" s="5" t="s">
        <v>982</v>
      </c>
      <c r="B35" s="5" t="s">
        <v>174</v>
      </c>
      <c r="C35" s="5" t="s">
        <v>175</v>
      </c>
      <c r="D35" s="5" t="s">
        <v>951</v>
      </c>
      <c r="E35" s="5" t="s">
        <v>952</v>
      </c>
      <c r="F35" s="5" t="s">
        <v>953</v>
      </c>
      <c r="G35" s="5" t="n">
        <v>10</v>
      </c>
      <c r="H35" s="5" t="s">
        <v>931</v>
      </c>
      <c r="I35" s="5" t="s">
        <v>919</v>
      </c>
    </row>
    <row r="36" customFormat="false" ht="15" hidden="false" customHeight="false" outlineLevel="0" collapsed="false">
      <c r="A36" s="5" t="s">
        <v>983</v>
      </c>
      <c r="B36" s="5" t="s">
        <v>182</v>
      </c>
      <c r="C36" s="5" t="s">
        <v>183</v>
      </c>
      <c r="D36" s="5" t="s">
        <v>951</v>
      </c>
      <c r="E36" s="5" t="s">
        <v>952</v>
      </c>
      <c r="F36" s="5" t="s">
        <v>960</v>
      </c>
      <c r="G36" s="5" t="n">
        <v>7</v>
      </c>
      <c r="H36" s="5" t="s">
        <v>918</v>
      </c>
      <c r="I36" s="5" t="s">
        <v>933</v>
      </c>
    </row>
    <row r="37" customFormat="false" ht="15" hidden="false" customHeight="false" outlineLevel="0" collapsed="false">
      <c r="A37" s="5" t="s">
        <v>984</v>
      </c>
      <c r="B37" s="5" t="s">
        <v>182</v>
      </c>
      <c r="C37" s="5" t="s">
        <v>183</v>
      </c>
      <c r="D37" s="5" t="s">
        <v>942</v>
      </c>
      <c r="E37" s="5" t="s">
        <v>943</v>
      </c>
      <c r="F37" s="5" t="s">
        <v>944</v>
      </c>
      <c r="G37" s="5" t="n">
        <v>5</v>
      </c>
      <c r="H37" s="5" t="s">
        <v>931</v>
      </c>
      <c r="I37" s="5" t="s">
        <v>933</v>
      </c>
    </row>
    <row r="38" customFormat="false" ht="15" hidden="false" customHeight="false" outlineLevel="0" collapsed="false">
      <c r="A38" s="5" t="s">
        <v>985</v>
      </c>
      <c r="B38" s="5" t="s">
        <v>182</v>
      </c>
      <c r="C38" s="5" t="s">
        <v>183</v>
      </c>
      <c r="D38" s="5" t="s">
        <v>927</v>
      </c>
      <c r="E38" s="5" t="s">
        <v>928</v>
      </c>
      <c r="F38" s="5" t="s">
        <v>986</v>
      </c>
      <c r="G38" s="5" t="n">
        <v>16</v>
      </c>
      <c r="H38" s="5" t="s">
        <v>931</v>
      </c>
      <c r="I38" s="5" t="s">
        <v>933</v>
      </c>
    </row>
    <row r="39" customFormat="false" ht="15" hidden="false" customHeight="false" outlineLevel="0" collapsed="false">
      <c r="A39" s="5" t="s">
        <v>987</v>
      </c>
      <c r="B39" s="5" t="s">
        <v>190</v>
      </c>
      <c r="C39" s="5" t="s">
        <v>191</v>
      </c>
      <c r="D39" s="5" t="s">
        <v>951</v>
      </c>
      <c r="E39" s="5" t="s">
        <v>952</v>
      </c>
      <c r="F39" s="5" t="s">
        <v>972</v>
      </c>
      <c r="G39" s="5" t="n">
        <v>23</v>
      </c>
      <c r="H39" s="5" t="s">
        <v>924</v>
      </c>
      <c r="I39" s="5" t="s">
        <v>919</v>
      </c>
    </row>
    <row r="40" customFormat="false" ht="15" hidden="false" customHeight="false" outlineLevel="0" collapsed="false">
      <c r="A40" s="5" t="s">
        <v>988</v>
      </c>
      <c r="B40" s="5" t="s">
        <v>190</v>
      </c>
      <c r="C40" s="5" t="s">
        <v>191</v>
      </c>
      <c r="D40" s="5" t="s">
        <v>946</v>
      </c>
      <c r="E40" s="5" t="s">
        <v>947</v>
      </c>
      <c r="F40" s="5" t="s">
        <v>948</v>
      </c>
      <c r="G40" s="5" t="n">
        <v>13</v>
      </c>
      <c r="H40" s="5" t="s">
        <v>931</v>
      </c>
      <c r="I40" s="5" t="s">
        <v>919</v>
      </c>
    </row>
    <row r="41" customFormat="false" ht="15" hidden="false" customHeight="false" outlineLevel="0" collapsed="false">
      <c r="A41" s="5" t="s">
        <v>989</v>
      </c>
      <c r="B41" s="5" t="s">
        <v>199</v>
      </c>
      <c r="C41" s="5" t="s">
        <v>200</v>
      </c>
      <c r="D41" s="5" t="s">
        <v>915</v>
      </c>
      <c r="E41" s="5" t="s">
        <v>916</v>
      </c>
      <c r="F41" s="5" t="s">
        <v>940</v>
      </c>
      <c r="G41" s="5" t="n">
        <v>23</v>
      </c>
      <c r="H41" s="5" t="s">
        <v>931</v>
      </c>
      <c r="I41" s="5" t="s">
        <v>933</v>
      </c>
    </row>
    <row r="42" customFormat="false" ht="15" hidden="false" customHeight="false" outlineLevel="0" collapsed="false">
      <c r="A42" s="5" t="s">
        <v>990</v>
      </c>
      <c r="B42" s="5" t="s">
        <v>199</v>
      </c>
      <c r="C42" s="5" t="s">
        <v>200</v>
      </c>
      <c r="D42" s="5" t="s">
        <v>927</v>
      </c>
      <c r="E42" s="5" t="s">
        <v>928</v>
      </c>
      <c r="F42" s="5" t="s">
        <v>986</v>
      </c>
      <c r="G42" s="5" t="n">
        <v>13</v>
      </c>
      <c r="H42" s="5" t="s">
        <v>924</v>
      </c>
      <c r="I42" s="5" t="s">
        <v>933</v>
      </c>
    </row>
    <row r="43" customFormat="false" ht="15" hidden="false" customHeight="false" outlineLevel="0" collapsed="false">
      <c r="A43" s="5" t="s">
        <v>991</v>
      </c>
      <c r="B43" s="5" t="s">
        <v>209</v>
      </c>
      <c r="C43" s="5" t="s">
        <v>210</v>
      </c>
      <c r="D43" s="5" t="s">
        <v>915</v>
      </c>
      <c r="E43" s="5" t="s">
        <v>916</v>
      </c>
      <c r="F43" s="5" t="s">
        <v>917</v>
      </c>
      <c r="G43" s="5" t="n">
        <v>6</v>
      </c>
      <c r="H43" s="5" t="s">
        <v>918</v>
      </c>
      <c r="I43" s="5" t="s">
        <v>919</v>
      </c>
    </row>
    <row r="44" customFormat="false" ht="15" hidden="false" customHeight="false" outlineLevel="0" collapsed="false">
      <c r="A44" s="5" t="s">
        <v>992</v>
      </c>
      <c r="B44" s="5" t="s">
        <v>209</v>
      </c>
      <c r="C44" s="5" t="s">
        <v>210</v>
      </c>
      <c r="D44" s="5" t="s">
        <v>927</v>
      </c>
      <c r="E44" s="5" t="s">
        <v>928</v>
      </c>
      <c r="F44" s="5" t="s">
        <v>929</v>
      </c>
      <c r="G44" s="5" t="n">
        <v>4</v>
      </c>
      <c r="H44" s="5" t="s">
        <v>931</v>
      </c>
      <c r="I44" s="5" t="s">
        <v>933</v>
      </c>
    </row>
    <row r="45" customFormat="false" ht="15" hidden="false" customHeight="false" outlineLevel="0" collapsed="false">
      <c r="A45" s="5" t="s">
        <v>993</v>
      </c>
      <c r="B45" s="5" t="s">
        <v>209</v>
      </c>
      <c r="C45" s="5" t="s">
        <v>210</v>
      </c>
      <c r="D45" s="5" t="s">
        <v>951</v>
      </c>
      <c r="E45" s="5" t="s">
        <v>952</v>
      </c>
      <c r="F45" s="5" t="s">
        <v>972</v>
      </c>
      <c r="G45" s="5" t="n">
        <v>18</v>
      </c>
      <c r="H45" s="5" t="s">
        <v>918</v>
      </c>
      <c r="I45" s="5" t="s">
        <v>933</v>
      </c>
    </row>
    <row r="46" customFormat="false" ht="15" hidden="false" customHeight="false" outlineLevel="0" collapsed="false">
      <c r="A46" s="5" t="s">
        <v>994</v>
      </c>
      <c r="B46" s="5" t="s">
        <v>216</v>
      </c>
      <c r="C46" s="5" t="s">
        <v>217</v>
      </c>
      <c r="D46" s="5" t="s">
        <v>942</v>
      </c>
      <c r="E46" s="5" t="s">
        <v>943</v>
      </c>
      <c r="F46" s="5" t="s">
        <v>995</v>
      </c>
      <c r="G46" s="5" t="n">
        <v>16</v>
      </c>
      <c r="H46" s="5" t="s">
        <v>931</v>
      </c>
      <c r="I46" s="5" t="s">
        <v>933</v>
      </c>
    </row>
    <row r="47" customFormat="false" ht="15" hidden="false" customHeight="false" outlineLevel="0" collapsed="false">
      <c r="A47" s="5" t="s">
        <v>996</v>
      </c>
      <c r="B47" s="5" t="s">
        <v>223</v>
      </c>
      <c r="C47" s="5" t="s">
        <v>224</v>
      </c>
      <c r="D47" s="5" t="s">
        <v>927</v>
      </c>
      <c r="E47" s="5" t="s">
        <v>928</v>
      </c>
      <c r="F47" s="5" t="s">
        <v>986</v>
      </c>
      <c r="G47" s="5" t="n">
        <v>9</v>
      </c>
      <c r="H47" s="5" t="s">
        <v>931</v>
      </c>
      <c r="I47" s="5" t="s">
        <v>919</v>
      </c>
    </row>
    <row r="48" customFormat="false" ht="15" hidden="false" customHeight="false" outlineLevel="0" collapsed="false">
      <c r="A48" s="5" t="s">
        <v>997</v>
      </c>
      <c r="B48" s="5" t="s">
        <v>223</v>
      </c>
      <c r="C48" s="5" t="s">
        <v>224</v>
      </c>
      <c r="D48" s="5" t="s">
        <v>915</v>
      </c>
      <c r="E48" s="5" t="s">
        <v>916</v>
      </c>
      <c r="F48" s="5" t="s">
        <v>935</v>
      </c>
      <c r="G48" s="5" t="n">
        <v>7</v>
      </c>
      <c r="H48" s="5" t="s">
        <v>918</v>
      </c>
      <c r="I48" s="5" t="s">
        <v>919</v>
      </c>
    </row>
    <row r="49" customFormat="false" ht="15" hidden="false" customHeight="false" outlineLevel="0" collapsed="false">
      <c r="A49" s="5" t="s">
        <v>998</v>
      </c>
      <c r="B49" s="5" t="s">
        <v>223</v>
      </c>
      <c r="C49" s="5" t="s">
        <v>224</v>
      </c>
      <c r="D49" s="5" t="s">
        <v>921</v>
      </c>
      <c r="E49" s="5" t="s">
        <v>922</v>
      </c>
      <c r="F49" s="5" t="s">
        <v>999</v>
      </c>
      <c r="G49" s="5" t="n">
        <v>12</v>
      </c>
      <c r="H49" s="5" t="s">
        <v>924</v>
      </c>
      <c r="I49" s="5" t="s">
        <v>919</v>
      </c>
    </row>
    <row r="50" customFormat="false" ht="15" hidden="false" customHeight="false" outlineLevel="0" collapsed="false">
      <c r="A50" s="5" t="s">
        <v>1000</v>
      </c>
      <c r="B50" s="5" t="s">
        <v>231</v>
      </c>
      <c r="C50" s="5" t="s">
        <v>232</v>
      </c>
      <c r="D50" s="5" t="s">
        <v>915</v>
      </c>
      <c r="E50" s="5" t="s">
        <v>916</v>
      </c>
      <c r="F50" s="5" t="s">
        <v>1001</v>
      </c>
      <c r="G50" s="5" t="n">
        <v>15</v>
      </c>
      <c r="H50" s="5" t="s">
        <v>931</v>
      </c>
      <c r="I50" s="5" t="s">
        <v>919</v>
      </c>
    </row>
    <row r="51" customFormat="false" ht="15" hidden="false" customHeight="false" outlineLevel="0" collapsed="false">
      <c r="A51" s="5" t="s">
        <v>1002</v>
      </c>
      <c r="B51" s="5" t="s">
        <v>231</v>
      </c>
      <c r="C51" s="5" t="s">
        <v>232</v>
      </c>
      <c r="D51" s="5" t="s">
        <v>927</v>
      </c>
      <c r="E51" s="5" t="s">
        <v>928</v>
      </c>
      <c r="F51" s="5" t="s">
        <v>937</v>
      </c>
      <c r="G51" s="5" t="n">
        <v>19</v>
      </c>
      <c r="H51" s="5" t="s">
        <v>931</v>
      </c>
      <c r="I51" s="5" t="s">
        <v>919</v>
      </c>
    </row>
    <row r="52" customFormat="false" ht="15" hidden="false" customHeight="false" outlineLevel="0" collapsed="false">
      <c r="A52" s="5" t="s">
        <v>1003</v>
      </c>
      <c r="B52" s="5" t="s">
        <v>238</v>
      </c>
      <c r="C52" s="5" t="s">
        <v>239</v>
      </c>
      <c r="D52" s="5" t="s">
        <v>951</v>
      </c>
      <c r="E52" s="5" t="s">
        <v>952</v>
      </c>
      <c r="F52" s="5" t="s">
        <v>972</v>
      </c>
      <c r="G52" s="5" t="n">
        <v>20</v>
      </c>
      <c r="H52" s="5" t="s">
        <v>918</v>
      </c>
      <c r="I52" s="5" t="s">
        <v>933</v>
      </c>
    </row>
    <row r="53" customFormat="false" ht="15" hidden="false" customHeight="false" outlineLevel="0" collapsed="false">
      <c r="A53" s="5" t="s">
        <v>1004</v>
      </c>
      <c r="B53" s="5" t="s">
        <v>238</v>
      </c>
      <c r="C53" s="5" t="s">
        <v>239</v>
      </c>
      <c r="D53" s="5" t="s">
        <v>946</v>
      </c>
      <c r="E53" s="5" t="s">
        <v>947</v>
      </c>
      <c r="F53" s="5" t="s">
        <v>964</v>
      </c>
      <c r="G53" s="5" t="n">
        <v>6</v>
      </c>
      <c r="H53" s="5" t="s">
        <v>931</v>
      </c>
      <c r="I53" s="5" t="s">
        <v>933</v>
      </c>
    </row>
    <row r="54" customFormat="false" ht="15" hidden="false" customHeight="false" outlineLevel="0" collapsed="false">
      <c r="A54" s="5" t="s">
        <v>1005</v>
      </c>
      <c r="B54" s="5" t="s">
        <v>245</v>
      </c>
      <c r="C54" s="5" t="s">
        <v>246</v>
      </c>
      <c r="D54" s="5" t="s">
        <v>927</v>
      </c>
      <c r="E54" s="5" t="s">
        <v>928</v>
      </c>
      <c r="F54" s="5" t="s">
        <v>958</v>
      </c>
      <c r="G54" s="5" t="n">
        <v>30</v>
      </c>
      <c r="H54" s="5" t="s">
        <v>924</v>
      </c>
      <c r="I54" s="5" t="s">
        <v>933</v>
      </c>
    </row>
    <row r="55" customFormat="false" ht="15" hidden="false" customHeight="false" outlineLevel="0" collapsed="false">
      <c r="A55" s="5" t="s">
        <v>1006</v>
      </c>
      <c r="B55" s="5" t="s">
        <v>245</v>
      </c>
      <c r="C55" s="5" t="s">
        <v>246</v>
      </c>
      <c r="D55" s="5" t="s">
        <v>915</v>
      </c>
      <c r="E55" s="5" t="s">
        <v>916</v>
      </c>
      <c r="F55" s="5" t="s">
        <v>940</v>
      </c>
      <c r="G55" s="5" t="n">
        <v>10</v>
      </c>
      <c r="H55" s="5" t="s">
        <v>931</v>
      </c>
      <c r="I55" s="5" t="s">
        <v>919</v>
      </c>
    </row>
    <row r="56" customFormat="false" ht="15" hidden="false" customHeight="false" outlineLevel="0" collapsed="false">
      <c r="A56" s="5" t="s">
        <v>1007</v>
      </c>
      <c r="B56" s="5" t="s">
        <v>245</v>
      </c>
      <c r="C56" s="5" t="s">
        <v>246</v>
      </c>
      <c r="D56" s="5" t="s">
        <v>942</v>
      </c>
      <c r="E56" s="5" t="s">
        <v>943</v>
      </c>
      <c r="F56" s="5" t="s">
        <v>962</v>
      </c>
      <c r="G56" s="5" t="n">
        <v>6</v>
      </c>
      <c r="H56" s="5" t="s">
        <v>931</v>
      </c>
      <c r="I56" s="5" t="s">
        <v>919</v>
      </c>
    </row>
    <row r="57" customFormat="false" ht="15" hidden="false" customHeight="false" outlineLevel="0" collapsed="false">
      <c r="A57" s="5" t="s">
        <v>1008</v>
      </c>
      <c r="B57" s="5" t="s">
        <v>252</v>
      </c>
      <c r="C57" s="5" t="s">
        <v>253</v>
      </c>
      <c r="D57" s="5" t="s">
        <v>927</v>
      </c>
      <c r="E57" s="5" t="s">
        <v>928</v>
      </c>
      <c r="F57" s="5" t="s">
        <v>929</v>
      </c>
      <c r="G57" s="5" t="n">
        <v>18</v>
      </c>
      <c r="H57" s="5" t="s">
        <v>924</v>
      </c>
      <c r="I57" s="5" t="s">
        <v>933</v>
      </c>
    </row>
    <row r="58" customFormat="false" ht="15" hidden="false" customHeight="false" outlineLevel="0" collapsed="false">
      <c r="A58" s="5" t="s">
        <v>1009</v>
      </c>
      <c r="B58" s="5" t="s">
        <v>252</v>
      </c>
      <c r="C58" s="5" t="s">
        <v>253</v>
      </c>
      <c r="D58" s="5" t="s">
        <v>915</v>
      </c>
      <c r="E58" s="5" t="s">
        <v>916</v>
      </c>
      <c r="F58" s="5" t="s">
        <v>1001</v>
      </c>
      <c r="G58" s="5" t="n">
        <v>8</v>
      </c>
      <c r="H58" s="5" t="s">
        <v>918</v>
      </c>
      <c r="I58" s="5" t="s">
        <v>919</v>
      </c>
    </row>
    <row r="59" customFormat="false" ht="15" hidden="false" customHeight="false" outlineLevel="0" collapsed="false">
      <c r="A59" s="5" t="s">
        <v>1010</v>
      </c>
      <c r="B59" s="5" t="s">
        <v>259</v>
      </c>
      <c r="C59" s="5" t="s">
        <v>260</v>
      </c>
      <c r="D59" s="5" t="s">
        <v>951</v>
      </c>
      <c r="E59" s="5" t="s">
        <v>952</v>
      </c>
      <c r="F59" s="5" t="s">
        <v>972</v>
      </c>
      <c r="G59" s="5" t="n">
        <v>4</v>
      </c>
      <c r="H59" s="5" t="s">
        <v>918</v>
      </c>
      <c r="I59" s="5" t="s">
        <v>919</v>
      </c>
    </row>
    <row r="60" customFormat="false" ht="15" hidden="false" customHeight="false" outlineLevel="0" collapsed="false">
      <c r="A60" s="5" t="s">
        <v>1011</v>
      </c>
      <c r="B60" s="5" t="s">
        <v>259</v>
      </c>
      <c r="C60" s="5" t="s">
        <v>260</v>
      </c>
      <c r="D60" s="5" t="s">
        <v>946</v>
      </c>
      <c r="E60" s="5" t="s">
        <v>947</v>
      </c>
      <c r="F60" s="5" t="s">
        <v>977</v>
      </c>
      <c r="G60" s="5" t="n">
        <v>6</v>
      </c>
      <c r="H60" s="5" t="s">
        <v>924</v>
      </c>
      <c r="I60" s="5" t="s">
        <v>933</v>
      </c>
    </row>
    <row r="61" customFormat="false" ht="15" hidden="false" customHeight="false" outlineLevel="0" collapsed="false">
      <c r="A61" s="5" t="s">
        <v>1012</v>
      </c>
      <c r="B61" s="5" t="s">
        <v>259</v>
      </c>
      <c r="C61" s="5" t="s">
        <v>260</v>
      </c>
      <c r="D61" s="5" t="s">
        <v>927</v>
      </c>
      <c r="E61" s="5" t="s">
        <v>928</v>
      </c>
      <c r="F61" s="5" t="s">
        <v>929</v>
      </c>
      <c r="G61" s="5" t="n">
        <v>34</v>
      </c>
      <c r="H61" s="5" t="s">
        <v>924</v>
      </c>
      <c r="I61" s="5" t="s">
        <v>933</v>
      </c>
    </row>
    <row r="62" customFormat="false" ht="15" hidden="false" customHeight="false" outlineLevel="0" collapsed="false">
      <c r="A62" s="5" t="s">
        <v>1013</v>
      </c>
      <c r="B62" s="5" t="s">
        <v>267</v>
      </c>
      <c r="C62" s="5" t="s">
        <v>268</v>
      </c>
      <c r="D62" s="5" t="s">
        <v>915</v>
      </c>
      <c r="E62" s="5" t="s">
        <v>916</v>
      </c>
      <c r="F62" s="5" t="s">
        <v>917</v>
      </c>
      <c r="G62" s="5" t="n">
        <v>19</v>
      </c>
      <c r="H62" s="5" t="s">
        <v>931</v>
      </c>
      <c r="I62" s="5" t="s">
        <v>933</v>
      </c>
    </row>
    <row r="63" customFormat="false" ht="15" hidden="false" customHeight="false" outlineLevel="0" collapsed="false">
      <c r="A63" s="5" t="s">
        <v>1014</v>
      </c>
      <c r="B63" s="5" t="s">
        <v>267</v>
      </c>
      <c r="C63" s="5" t="s">
        <v>268</v>
      </c>
      <c r="D63" s="5" t="s">
        <v>927</v>
      </c>
      <c r="E63" s="5" t="s">
        <v>928</v>
      </c>
      <c r="F63" s="5" t="s">
        <v>937</v>
      </c>
      <c r="G63" s="5" t="n">
        <v>5</v>
      </c>
      <c r="H63" s="5" t="s">
        <v>931</v>
      </c>
      <c r="I63" s="5" t="s">
        <v>933</v>
      </c>
    </row>
    <row r="64" customFormat="false" ht="15" hidden="false" customHeight="false" outlineLevel="0" collapsed="false">
      <c r="A64" s="5" t="s">
        <v>1015</v>
      </c>
      <c r="B64" s="5" t="s">
        <v>275</v>
      </c>
      <c r="C64" s="5" t="s">
        <v>276</v>
      </c>
      <c r="D64" s="5" t="s">
        <v>915</v>
      </c>
      <c r="E64" s="5" t="s">
        <v>916</v>
      </c>
      <c r="F64" s="5" t="s">
        <v>1001</v>
      </c>
      <c r="G64" s="5" t="n">
        <v>5</v>
      </c>
      <c r="H64" s="5" t="s">
        <v>931</v>
      </c>
      <c r="I64" s="5" t="s">
        <v>919</v>
      </c>
    </row>
    <row r="65" customFormat="false" ht="15" hidden="false" customHeight="false" outlineLevel="0" collapsed="false">
      <c r="A65" s="5" t="s">
        <v>1016</v>
      </c>
      <c r="B65" s="5" t="s">
        <v>275</v>
      </c>
      <c r="C65" s="5" t="s">
        <v>276</v>
      </c>
      <c r="D65" s="5" t="s">
        <v>927</v>
      </c>
      <c r="E65" s="5" t="s">
        <v>928</v>
      </c>
      <c r="F65" s="5" t="s">
        <v>929</v>
      </c>
      <c r="G65" s="5" t="n">
        <v>31</v>
      </c>
      <c r="H65" s="5" t="s">
        <v>924</v>
      </c>
      <c r="I65" s="5" t="s">
        <v>919</v>
      </c>
    </row>
    <row r="66" customFormat="false" ht="15" hidden="false" customHeight="false" outlineLevel="0" collapsed="false">
      <c r="A66" s="5" t="s">
        <v>1017</v>
      </c>
      <c r="B66" s="5" t="s">
        <v>282</v>
      </c>
      <c r="C66" s="5" t="s">
        <v>283</v>
      </c>
      <c r="D66" s="5" t="s">
        <v>915</v>
      </c>
      <c r="E66" s="5" t="s">
        <v>916</v>
      </c>
      <c r="F66" s="5" t="s">
        <v>1001</v>
      </c>
      <c r="G66" s="5" t="n">
        <v>12</v>
      </c>
      <c r="H66" s="5" t="s">
        <v>918</v>
      </c>
      <c r="I66" s="5" t="s">
        <v>933</v>
      </c>
    </row>
    <row r="67" customFormat="false" ht="15" hidden="false" customHeight="false" outlineLevel="0" collapsed="false">
      <c r="A67" s="5" t="s">
        <v>1018</v>
      </c>
      <c r="B67" s="5" t="s">
        <v>282</v>
      </c>
      <c r="C67" s="5" t="s">
        <v>283</v>
      </c>
      <c r="D67" s="5" t="s">
        <v>927</v>
      </c>
      <c r="E67" s="5" t="s">
        <v>928</v>
      </c>
      <c r="F67" s="5" t="s">
        <v>986</v>
      </c>
      <c r="G67" s="5" t="n">
        <v>20</v>
      </c>
      <c r="H67" s="5" t="s">
        <v>918</v>
      </c>
      <c r="I67" s="5" t="s">
        <v>933</v>
      </c>
    </row>
    <row r="68" customFormat="false" ht="15" hidden="false" customHeight="false" outlineLevel="0" collapsed="false">
      <c r="A68" s="5" t="s">
        <v>1019</v>
      </c>
      <c r="B68" s="5" t="s">
        <v>290</v>
      </c>
      <c r="C68" s="5" t="s">
        <v>291</v>
      </c>
      <c r="D68" s="5" t="s">
        <v>927</v>
      </c>
      <c r="E68" s="5" t="s">
        <v>928</v>
      </c>
      <c r="F68" s="5" t="s">
        <v>958</v>
      </c>
      <c r="G68" s="5" t="n">
        <v>26</v>
      </c>
      <c r="H68" s="5" t="s">
        <v>931</v>
      </c>
      <c r="I68" s="5" t="s">
        <v>919</v>
      </c>
    </row>
    <row r="69" customFormat="false" ht="15" hidden="false" customHeight="false" outlineLevel="0" collapsed="false">
      <c r="A69" s="5" t="s">
        <v>1020</v>
      </c>
      <c r="B69" s="5" t="s">
        <v>290</v>
      </c>
      <c r="C69" s="5" t="s">
        <v>291</v>
      </c>
      <c r="D69" s="5" t="s">
        <v>915</v>
      </c>
      <c r="E69" s="5" t="s">
        <v>916</v>
      </c>
      <c r="F69" s="5" t="s">
        <v>917</v>
      </c>
      <c r="G69" s="5" t="n">
        <v>10</v>
      </c>
      <c r="H69" s="5" t="s">
        <v>924</v>
      </c>
      <c r="I69" s="5" t="s">
        <v>933</v>
      </c>
    </row>
    <row r="70" customFormat="false" ht="15" hidden="false" customHeight="false" outlineLevel="0" collapsed="false">
      <c r="A70" s="5" t="s">
        <v>1021</v>
      </c>
      <c r="B70" s="5" t="s">
        <v>296</v>
      </c>
      <c r="C70" s="5" t="s">
        <v>297</v>
      </c>
      <c r="D70" s="5" t="s">
        <v>927</v>
      </c>
      <c r="E70" s="5" t="s">
        <v>928</v>
      </c>
      <c r="F70" s="5" t="s">
        <v>986</v>
      </c>
      <c r="G70" s="5" t="n">
        <v>17</v>
      </c>
      <c r="H70" s="5" t="s">
        <v>931</v>
      </c>
      <c r="I70" s="5" t="s">
        <v>919</v>
      </c>
    </row>
    <row r="71" customFormat="false" ht="15" hidden="false" customHeight="false" outlineLevel="0" collapsed="false">
      <c r="A71" s="5" t="s">
        <v>1022</v>
      </c>
      <c r="B71" s="5" t="s">
        <v>296</v>
      </c>
      <c r="C71" s="5" t="s">
        <v>297</v>
      </c>
      <c r="D71" s="5" t="s">
        <v>915</v>
      </c>
      <c r="E71" s="5" t="s">
        <v>916</v>
      </c>
      <c r="F71" s="5" t="s">
        <v>1001</v>
      </c>
      <c r="G71" s="5" t="n">
        <v>7</v>
      </c>
      <c r="H71" s="5" t="s">
        <v>931</v>
      </c>
      <c r="I71" s="5" t="s">
        <v>933</v>
      </c>
    </row>
    <row r="72" customFormat="false" ht="15" hidden="false" customHeight="false" outlineLevel="0" collapsed="false">
      <c r="A72" s="5" t="s">
        <v>1023</v>
      </c>
      <c r="B72" s="5" t="s">
        <v>303</v>
      </c>
      <c r="C72" s="5" t="s">
        <v>304</v>
      </c>
      <c r="D72" s="5" t="s">
        <v>915</v>
      </c>
      <c r="E72" s="5" t="s">
        <v>916</v>
      </c>
      <c r="F72" s="5" t="s">
        <v>940</v>
      </c>
      <c r="G72" s="5" t="n">
        <v>6</v>
      </c>
      <c r="H72" s="5" t="s">
        <v>931</v>
      </c>
      <c r="I72" s="5" t="s">
        <v>919</v>
      </c>
    </row>
    <row r="73" customFormat="false" ht="15" hidden="false" customHeight="false" outlineLevel="0" collapsed="false">
      <c r="A73" s="5" t="s">
        <v>1024</v>
      </c>
      <c r="B73" s="5" t="s">
        <v>303</v>
      </c>
      <c r="C73" s="5" t="s">
        <v>304</v>
      </c>
      <c r="D73" s="5" t="s">
        <v>927</v>
      </c>
      <c r="E73" s="5" t="s">
        <v>928</v>
      </c>
      <c r="F73" s="5" t="s">
        <v>986</v>
      </c>
      <c r="G73" s="5" t="n">
        <v>16</v>
      </c>
      <c r="H73" s="5" t="s">
        <v>931</v>
      </c>
      <c r="I73" s="5" t="s">
        <v>919</v>
      </c>
    </row>
    <row r="74" customFormat="false" ht="15" hidden="false" customHeight="false" outlineLevel="0" collapsed="false">
      <c r="A74" s="5" t="s">
        <v>1025</v>
      </c>
      <c r="B74" s="5" t="s">
        <v>303</v>
      </c>
      <c r="C74" s="5" t="s">
        <v>304</v>
      </c>
      <c r="D74" s="5" t="s">
        <v>951</v>
      </c>
      <c r="E74" s="5" t="s">
        <v>952</v>
      </c>
      <c r="F74" s="5" t="s">
        <v>968</v>
      </c>
      <c r="G74" s="5" t="n">
        <v>14</v>
      </c>
      <c r="H74" s="5" t="s">
        <v>931</v>
      </c>
      <c r="I74" s="5" t="s">
        <v>933</v>
      </c>
    </row>
    <row r="75" customFormat="false" ht="15" hidden="false" customHeight="false" outlineLevel="0" collapsed="false">
      <c r="A75" s="5" t="s">
        <v>1026</v>
      </c>
      <c r="B75" s="5" t="s">
        <v>308</v>
      </c>
      <c r="C75" s="5" t="s">
        <v>309</v>
      </c>
      <c r="D75" s="5" t="s">
        <v>921</v>
      </c>
      <c r="E75" s="5" t="s">
        <v>922</v>
      </c>
      <c r="F75" s="5" t="s">
        <v>923</v>
      </c>
      <c r="G75" s="5" t="n">
        <v>13</v>
      </c>
      <c r="H75" s="5" t="s">
        <v>931</v>
      </c>
      <c r="I75" s="5" t="s">
        <v>919</v>
      </c>
    </row>
    <row r="76" customFormat="false" ht="15" hidden="false" customHeight="false" outlineLevel="0" collapsed="false">
      <c r="A76" s="5" t="s">
        <v>1027</v>
      </c>
      <c r="B76" s="5" t="s">
        <v>308</v>
      </c>
      <c r="C76" s="5" t="s">
        <v>309</v>
      </c>
      <c r="D76" s="5" t="s">
        <v>927</v>
      </c>
      <c r="E76" s="5" t="s">
        <v>928</v>
      </c>
      <c r="F76" s="5" t="s">
        <v>986</v>
      </c>
      <c r="G76" s="5" t="n">
        <v>18</v>
      </c>
      <c r="H76" s="5" t="s">
        <v>924</v>
      </c>
      <c r="I76" s="5" t="s">
        <v>919</v>
      </c>
    </row>
    <row r="77" customFormat="false" ht="15" hidden="false" customHeight="false" outlineLevel="0" collapsed="false">
      <c r="A77" s="5" t="s">
        <v>1028</v>
      </c>
      <c r="B77" s="5" t="s">
        <v>308</v>
      </c>
      <c r="C77" s="5" t="s">
        <v>309</v>
      </c>
      <c r="D77" s="5" t="s">
        <v>951</v>
      </c>
      <c r="E77" s="5" t="s">
        <v>952</v>
      </c>
      <c r="F77" s="5" t="s">
        <v>953</v>
      </c>
      <c r="G77" s="5" t="n">
        <v>5</v>
      </c>
      <c r="H77" s="5" t="s">
        <v>918</v>
      </c>
      <c r="I77" s="5" t="s">
        <v>919</v>
      </c>
    </row>
    <row r="78" customFormat="false" ht="15" hidden="false" customHeight="false" outlineLevel="0" collapsed="false">
      <c r="A78" s="5" t="s">
        <v>1029</v>
      </c>
      <c r="B78" s="5" t="s">
        <v>316</v>
      </c>
      <c r="C78" s="5" t="s">
        <v>317</v>
      </c>
      <c r="D78" s="5" t="s">
        <v>942</v>
      </c>
      <c r="E78" s="5" t="s">
        <v>943</v>
      </c>
      <c r="F78" s="5" t="s">
        <v>962</v>
      </c>
      <c r="G78" s="5" t="n">
        <v>5</v>
      </c>
      <c r="H78" s="5" t="s">
        <v>918</v>
      </c>
      <c r="I78" s="5" t="s">
        <v>919</v>
      </c>
    </row>
    <row r="79" customFormat="false" ht="15" hidden="false" customHeight="false" outlineLevel="0" collapsed="false">
      <c r="A79" s="5" t="s">
        <v>1030</v>
      </c>
      <c r="B79" s="5" t="s">
        <v>316</v>
      </c>
      <c r="C79" s="5" t="s">
        <v>317</v>
      </c>
      <c r="D79" s="5" t="s">
        <v>946</v>
      </c>
      <c r="E79" s="5" t="s">
        <v>947</v>
      </c>
      <c r="F79" s="5" t="s">
        <v>948</v>
      </c>
      <c r="G79" s="5" t="n">
        <v>19</v>
      </c>
      <c r="H79" s="5" t="s">
        <v>931</v>
      </c>
      <c r="I79" s="5" t="s">
        <v>919</v>
      </c>
    </row>
    <row r="80" customFormat="false" ht="15" hidden="false" customHeight="false" outlineLevel="0" collapsed="false">
      <c r="A80" s="5" t="s">
        <v>1031</v>
      </c>
      <c r="B80" s="5" t="s">
        <v>316</v>
      </c>
      <c r="C80" s="5" t="s">
        <v>317</v>
      </c>
      <c r="D80" s="5" t="s">
        <v>951</v>
      </c>
      <c r="E80" s="5" t="s">
        <v>952</v>
      </c>
      <c r="F80" s="5" t="s">
        <v>972</v>
      </c>
      <c r="G80" s="5" t="n">
        <v>4</v>
      </c>
      <c r="H80" s="5" t="s">
        <v>931</v>
      </c>
      <c r="I80" s="5" t="s">
        <v>919</v>
      </c>
    </row>
    <row r="81" customFormat="false" ht="15" hidden="false" customHeight="false" outlineLevel="0" collapsed="false">
      <c r="A81" s="5" t="s">
        <v>1032</v>
      </c>
      <c r="B81" s="5" t="s">
        <v>323</v>
      </c>
      <c r="C81" s="5" t="s">
        <v>324</v>
      </c>
      <c r="D81" s="5" t="s">
        <v>921</v>
      </c>
      <c r="E81" s="5" t="s">
        <v>922</v>
      </c>
      <c r="F81" s="5" t="s">
        <v>970</v>
      </c>
      <c r="G81" s="5" t="n">
        <v>22</v>
      </c>
      <c r="H81" s="5" t="s">
        <v>931</v>
      </c>
      <c r="I81" s="5" t="s">
        <v>919</v>
      </c>
    </row>
    <row r="82" customFormat="false" ht="15" hidden="false" customHeight="false" outlineLevel="0" collapsed="false">
      <c r="A82" s="5" t="s">
        <v>1033</v>
      </c>
      <c r="B82" s="5" t="s">
        <v>331</v>
      </c>
      <c r="C82" s="5" t="s">
        <v>332</v>
      </c>
      <c r="D82" s="5" t="s">
        <v>915</v>
      </c>
      <c r="E82" s="5" t="s">
        <v>916</v>
      </c>
      <c r="F82" s="5" t="s">
        <v>935</v>
      </c>
      <c r="G82" s="5" t="n">
        <v>19</v>
      </c>
      <c r="H82" s="5" t="s">
        <v>931</v>
      </c>
      <c r="I82" s="5" t="s">
        <v>919</v>
      </c>
    </row>
    <row r="83" customFormat="false" ht="15" hidden="false" customHeight="false" outlineLevel="0" collapsed="false">
      <c r="A83" s="5" t="s">
        <v>1034</v>
      </c>
      <c r="B83" s="5" t="s">
        <v>331</v>
      </c>
      <c r="C83" s="5" t="s">
        <v>332</v>
      </c>
      <c r="D83" s="5" t="s">
        <v>927</v>
      </c>
      <c r="E83" s="5" t="s">
        <v>928</v>
      </c>
      <c r="F83" s="5" t="s">
        <v>986</v>
      </c>
      <c r="G83" s="5" t="n">
        <v>17</v>
      </c>
      <c r="H83" s="5" t="s">
        <v>924</v>
      </c>
      <c r="I83" s="5" t="s">
        <v>919</v>
      </c>
    </row>
    <row r="84" customFormat="false" ht="15" hidden="false" customHeight="false" outlineLevel="0" collapsed="false">
      <c r="A84" s="5" t="s">
        <v>1035</v>
      </c>
      <c r="B84" s="5" t="s">
        <v>338</v>
      </c>
      <c r="C84" s="5" t="s">
        <v>339</v>
      </c>
      <c r="D84" s="5" t="s">
        <v>942</v>
      </c>
      <c r="E84" s="5" t="s">
        <v>943</v>
      </c>
      <c r="F84" s="5" t="s">
        <v>962</v>
      </c>
      <c r="G84" s="5" t="n">
        <v>16</v>
      </c>
      <c r="H84" s="5" t="s">
        <v>931</v>
      </c>
      <c r="I84" s="5" t="s">
        <v>919</v>
      </c>
    </row>
    <row r="85" customFormat="false" ht="15" hidden="false" customHeight="false" outlineLevel="0" collapsed="false">
      <c r="A85" s="5" t="s">
        <v>1036</v>
      </c>
      <c r="B85" s="5" t="s">
        <v>338</v>
      </c>
      <c r="C85" s="5" t="s">
        <v>339</v>
      </c>
      <c r="D85" s="5" t="s">
        <v>946</v>
      </c>
      <c r="E85" s="5" t="s">
        <v>947</v>
      </c>
      <c r="F85" s="5" t="s">
        <v>964</v>
      </c>
      <c r="G85" s="5" t="n">
        <v>14</v>
      </c>
      <c r="H85" s="5" t="s">
        <v>918</v>
      </c>
      <c r="I85" s="5" t="s">
        <v>919</v>
      </c>
    </row>
    <row r="86" customFormat="false" ht="15" hidden="false" customHeight="false" outlineLevel="0" collapsed="false">
      <c r="A86" s="5" t="s">
        <v>1037</v>
      </c>
      <c r="B86" s="5" t="s">
        <v>347</v>
      </c>
      <c r="C86" s="5" t="s">
        <v>348</v>
      </c>
      <c r="D86" s="5" t="s">
        <v>942</v>
      </c>
      <c r="E86" s="5" t="s">
        <v>943</v>
      </c>
      <c r="F86" s="5" t="s">
        <v>1038</v>
      </c>
      <c r="G86" s="5" t="n">
        <v>24</v>
      </c>
      <c r="H86" s="5" t="s">
        <v>924</v>
      </c>
      <c r="I86" s="5" t="s">
        <v>919</v>
      </c>
    </row>
    <row r="87" customFormat="false" ht="15" hidden="false" customHeight="false" outlineLevel="0" collapsed="false">
      <c r="A87" s="5" t="s">
        <v>1039</v>
      </c>
      <c r="B87" s="5" t="s">
        <v>347</v>
      </c>
      <c r="C87" s="5" t="s">
        <v>348</v>
      </c>
      <c r="D87" s="5" t="s">
        <v>927</v>
      </c>
      <c r="E87" s="5" t="s">
        <v>928</v>
      </c>
      <c r="F87" s="5" t="s">
        <v>929</v>
      </c>
      <c r="G87" s="5" t="n">
        <v>8</v>
      </c>
      <c r="H87" s="5" t="s">
        <v>924</v>
      </c>
      <c r="I87" s="5" t="s">
        <v>919</v>
      </c>
    </row>
    <row r="88" customFormat="false" ht="15" hidden="false" customHeight="false" outlineLevel="0" collapsed="false">
      <c r="A88" s="5" t="s">
        <v>1040</v>
      </c>
      <c r="B88" s="5" t="s">
        <v>355</v>
      </c>
      <c r="C88" s="5" t="s">
        <v>356</v>
      </c>
      <c r="D88" s="5" t="s">
        <v>921</v>
      </c>
      <c r="E88" s="5" t="s">
        <v>922</v>
      </c>
      <c r="F88" s="5" t="s">
        <v>1041</v>
      </c>
      <c r="G88" s="5" t="n">
        <v>31</v>
      </c>
      <c r="H88" s="5" t="s">
        <v>918</v>
      </c>
      <c r="I88" s="5" t="s">
        <v>919</v>
      </c>
    </row>
    <row r="89" customFormat="false" ht="15" hidden="false" customHeight="false" outlineLevel="0" collapsed="false">
      <c r="A89" s="5" t="s">
        <v>1042</v>
      </c>
      <c r="B89" s="5" t="s">
        <v>355</v>
      </c>
      <c r="C89" s="5" t="s">
        <v>356</v>
      </c>
      <c r="D89" s="5" t="s">
        <v>946</v>
      </c>
      <c r="E89" s="5" t="s">
        <v>947</v>
      </c>
      <c r="F89" s="5" t="s">
        <v>974</v>
      </c>
      <c r="G89" s="5" t="n">
        <v>5</v>
      </c>
      <c r="H89" s="5" t="s">
        <v>931</v>
      </c>
      <c r="I89" s="5" t="s">
        <v>933</v>
      </c>
    </row>
    <row r="90" customFormat="false" ht="15" hidden="false" customHeight="false" outlineLevel="0" collapsed="false">
      <c r="A90" s="5" t="s">
        <v>1043</v>
      </c>
      <c r="B90" s="5" t="s">
        <v>363</v>
      </c>
      <c r="C90" s="5" t="s">
        <v>364</v>
      </c>
      <c r="D90" s="5" t="s">
        <v>951</v>
      </c>
      <c r="E90" s="5" t="s">
        <v>952</v>
      </c>
      <c r="F90" s="5" t="s">
        <v>968</v>
      </c>
      <c r="G90" s="5" t="n">
        <v>12</v>
      </c>
      <c r="H90" s="5" t="s">
        <v>924</v>
      </c>
      <c r="I90" s="5" t="s">
        <v>933</v>
      </c>
    </row>
    <row r="91" customFormat="false" ht="15" hidden="false" customHeight="false" outlineLevel="0" collapsed="false">
      <c r="A91" s="5" t="s">
        <v>1044</v>
      </c>
      <c r="B91" s="5" t="s">
        <v>371</v>
      </c>
      <c r="C91" s="5" t="s">
        <v>372</v>
      </c>
      <c r="D91" s="5" t="s">
        <v>915</v>
      </c>
      <c r="E91" s="5" t="s">
        <v>916</v>
      </c>
      <c r="F91" s="5" t="s">
        <v>940</v>
      </c>
      <c r="G91" s="5" t="n">
        <v>4</v>
      </c>
      <c r="H91" s="5" t="s">
        <v>918</v>
      </c>
      <c r="I91" s="5" t="s">
        <v>919</v>
      </c>
    </row>
    <row r="92" customFormat="false" ht="15" hidden="false" customHeight="false" outlineLevel="0" collapsed="false">
      <c r="A92" s="5" t="s">
        <v>1045</v>
      </c>
      <c r="B92" s="5" t="s">
        <v>371</v>
      </c>
      <c r="C92" s="5" t="s">
        <v>372</v>
      </c>
      <c r="D92" s="5" t="s">
        <v>927</v>
      </c>
      <c r="E92" s="5" t="s">
        <v>928</v>
      </c>
      <c r="F92" s="5" t="s">
        <v>958</v>
      </c>
      <c r="G92" s="5" t="n">
        <v>13</v>
      </c>
      <c r="H92" s="5" t="s">
        <v>931</v>
      </c>
      <c r="I92" s="5" t="s">
        <v>919</v>
      </c>
    </row>
    <row r="93" customFormat="false" ht="15" hidden="false" customHeight="false" outlineLevel="0" collapsed="false">
      <c r="A93" s="5" t="s">
        <v>1046</v>
      </c>
      <c r="B93" s="5" t="s">
        <v>371</v>
      </c>
      <c r="C93" s="5" t="s">
        <v>372</v>
      </c>
      <c r="D93" s="5" t="s">
        <v>921</v>
      </c>
      <c r="E93" s="5" t="s">
        <v>922</v>
      </c>
      <c r="F93" s="5" t="s">
        <v>923</v>
      </c>
      <c r="G93" s="5" t="n">
        <v>11</v>
      </c>
      <c r="H93" s="5" t="s">
        <v>918</v>
      </c>
      <c r="I93" s="5" t="s">
        <v>933</v>
      </c>
    </row>
    <row r="94" customFormat="false" ht="15" hidden="false" customHeight="false" outlineLevel="0" collapsed="false">
      <c r="A94" s="5" t="s">
        <v>1047</v>
      </c>
      <c r="B94" s="5" t="s">
        <v>378</v>
      </c>
      <c r="C94" s="5" t="s">
        <v>379</v>
      </c>
      <c r="D94" s="5" t="s">
        <v>927</v>
      </c>
      <c r="E94" s="5" t="s">
        <v>928</v>
      </c>
      <c r="F94" s="5" t="s">
        <v>958</v>
      </c>
      <c r="G94" s="5" t="n">
        <v>14</v>
      </c>
      <c r="H94" s="5" t="s">
        <v>918</v>
      </c>
      <c r="I94" s="5" t="s">
        <v>933</v>
      </c>
    </row>
    <row r="95" customFormat="false" ht="15" hidden="false" customHeight="false" outlineLevel="0" collapsed="false">
      <c r="A95" s="5" t="s">
        <v>1048</v>
      </c>
      <c r="B95" s="5" t="s">
        <v>385</v>
      </c>
      <c r="C95" s="5" t="s">
        <v>386</v>
      </c>
      <c r="D95" s="5" t="s">
        <v>951</v>
      </c>
      <c r="E95" s="5" t="s">
        <v>952</v>
      </c>
      <c r="F95" s="5" t="s">
        <v>953</v>
      </c>
      <c r="G95" s="5" t="n">
        <v>7</v>
      </c>
      <c r="H95" s="5" t="s">
        <v>918</v>
      </c>
      <c r="I95" s="5" t="s">
        <v>919</v>
      </c>
    </row>
    <row r="96" customFormat="false" ht="15" hidden="false" customHeight="false" outlineLevel="0" collapsed="false">
      <c r="A96" s="5" t="s">
        <v>1049</v>
      </c>
      <c r="B96" s="5" t="s">
        <v>385</v>
      </c>
      <c r="C96" s="5" t="s">
        <v>386</v>
      </c>
      <c r="D96" s="5" t="s">
        <v>915</v>
      </c>
      <c r="E96" s="5" t="s">
        <v>916</v>
      </c>
      <c r="F96" s="5" t="s">
        <v>935</v>
      </c>
      <c r="G96" s="5" t="n">
        <v>11</v>
      </c>
      <c r="H96" s="5" t="s">
        <v>918</v>
      </c>
      <c r="I96" s="5" t="s">
        <v>919</v>
      </c>
    </row>
    <row r="97" customFormat="false" ht="15" hidden="false" customHeight="false" outlineLevel="0" collapsed="false">
      <c r="A97" s="5" t="s">
        <v>1050</v>
      </c>
      <c r="B97" s="5" t="s">
        <v>385</v>
      </c>
      <c r="C97" s="5" t="s">
        <v>386</v>
      </c>
      <c r="D97" s="5" t="s">
        <v>927</v>
      </c>
      <c r="E97" s="5" t="s">
        <v>928</v>
      </c>
      <c r="F97" s="5" t="s">
        <v>986</v>
      </c>
      <c r="G97" s="5" t="n">
        <v>18</v>
      </c>
      <c r="H97" s="5" t="s">
        <v>924</v>
      </c>
      <c r="I97" s="5" t="s">
        <v>919</v>
      </c>
    </row>
    <row r="98" customFormat="false" ht="15" hidden="false" customHeight="false" outlineLevel="0" collapsed="false">
      <c r="A98" s="5" t="s">
        <v>1051</v>
      </c>
      <c r="B98" s="5" t="s">
        <v>391</v>
      </c>
      <c r="C98" s="5" t="s">
        <v>392</v>
      </c>
      <c r="D98" s="5" t="s">
        <v>915</v>
      </c>
      <c r="E98" s="5" t="s">
        <v>916</v>
      </c>
      <c r="F98" s="5" t="s">
        <v>1001</v>
      </c>
      <c r="G98" s="5" t="n">
        <v>13</v>
      </c>
      <c r="H98" s="5" t="s">
        <v>918</v>
      </c>
      <c r="I98" s="5" t="s">
        <v>919</v>
      </c>
    </row>
    <row r="99" customFormat="false" ht="15" hidden="false" customHeight="false" outlineLevel="0" collapsed="false">
      <c r="A99" s="5" t="s">
        <v>1052</v>
      </c>
      <c r="B99" s="5" t="s">
        <v>391</v>
      </c>
      <c r="C99" s="5" t="s">
        <v>392</v>
      </c>
      <c r="D99" s="5" t="s">
        <v>927</v>
      </c>
      <c r="E99" s="5" t="s">
        <v>928</v>
      </c>
      <c r="F99" s="5" t="s">
        <v>958</v>
      </c>
      <c r="G99" s="5" t="n">
        <v>13</v>
      </c>
      <c r="H99" s="5" t="s">
        <v>931</v>
      </c>
      <c r="I99" s="5" t="s">
        <v>933</v>
      </c>
    </row>
    <row r="100" customFormat="false" ht="15" hidden="false" customHeight="false" outlineLevel="0" collapsed="false">
      <c r="A100" s="5" t="s">
        <v>1053</v>
      </c>
      <c r="B100" s="5" t="s">
        <v>396</v>
      </c>
      <c r="C100" s="5" t="s">
        <v>397</v>
      </c>
      <c r="D100" s="5" t="s">
        <v>921</v>
      </c>
      <c r="E100" s="5" t="s">
        <v>922</v>
      </c>
      <c r="F100" s="5" t="s">
        <v>999</v>
      </c>
      <c r="G100" s="5" t="n">
        <v>20</v>
      </c>
      <c r="H100" s="5" t="s">
        <v>924</v>
      </c>
      <c r="I100" s="5" t="s">
        <v>919</v>
      </c>
    </row>
    <row r="101" customFormat="false" ht="15" hidden="false" customHeight="false" outlineLevel="0" collapsed="false">
      <c r="A101" s="5" t="s">
        <v>1054</v>
      </c>
      <c r="B101" s="5" t="s">
        <v>396</v>
      </c>
      <c r="C101" s="5" t="s">
        <v>397</v>
      </c>
      <c r="D101" s="5" t="s">
        <v>951</v>
      </c>
      <c r="E101" s="5" t="s">
        <v>952</v>
      </c>
      <c r="F101" s="5" t="s">
        <v>968</v>
      </c>
      <c r="G101" s="5" t="n">
        <v>8</v>
      </c>
      <c r="H101" s="5" t="s">
        <v>931</v>
      </c>
      <c r="I101" s="5" t="s">
        <v>919</v>
      </c>
    </row>
    <row r="102" customFormat="false" ht="15" hidden="false" customHeight="false" outlineLevel="0" collapsed="false">
      <c r="A102" s="5" t="s">
        <v>1055</v>
      </c>
      <c r="B102" s="5" t="s">
        <v>404</v>
      </c>
      <c r="C102" s="5" t="s">
        <v>405</v>
      </c>
      <c r="D102" s="5" t="s">
        <v>946</v>
      </c>
      <c r="E102" s="5" t="s">
        <v>947</v>
      </c>
      <c r="F102" s="5" t="s">
        <v>977</v>
      </c>
      <c r="G102" s="5" t="n">
        <v>5</v>
      </c>
      <c r="H102" s="5" t="s">
        <v>931</v>
      </c>
      <c r="I102" s="5" t="s">
        <v>933</v>
      </c>
    </row>
    <row r="103" customFormat="false" ht="15" hidden="false" customHeight="false" outlineLevel="0" collapsed="false">
      <c r="A103" s="5" t="s">
        <v>1056</v>
      </c>
      <c r="B103" s="5" t="s">
        <v>404</v>
      </c>
      <c r="C103" s="5" t="s">
        <v>405</v>
      </c>
      <c r="D103" s="5" t="s">
        <v>942</v>
      </c>
      <c r="E103" s="5" t="s">
        <v>943</v>
      </c>
      <c r="F103" s="5" t="s">
        <v>944</v>
      </c>
      <c r="G103" s="5" t="n">
        <v>17</v>
      </c>
      <c r="H103" s="5" t="s">
        <v>918</v>
      </c>
      <c r="I103" s="5" t="s">
        <v>919</v>
      </c>
    </row>
    <row r="104" customFormat="false" ht="15" hidden="false" customHeight="false" outlineLevel="0" collapsed="false">
      <c r="A104" s="5" t="s">
        <v>1057</v>
      </c>
      <c r="B104" s="5" t="s">
        <v>404</v>
      </c>
      <c r="C104" s="5" t="s">
        <v>405</v>
      </c>
      <c r="D104" s="5" t="s">
        <v>951</v>
      </c>
      <c r="E104" s="5" t="s">
        <v>952</v>
      </c>
      <c r="F104" s="5" t="s">
        <v>972</v>
      </c>
      <c r="G104" s="5" t="n">
        <v>4</v>
      </c>
      <c r="H104" s="5" t="s">
        <v>918</v>
      </c>
      <c r="I104" s="5" t="s">
        <v>919</v>
      </c>
    </row>
    <row r="105" customFormat="false" ht="15" hidden="false" customHeight="false" outlineLevel="0" collapsed="false">
      <c r="A105" s="5" t="s">
        <v>1058</v>
      </c>
      <c r="B105" s="5" t="s">
        <v>411</v>
      </c>
      <c r="C105" s="5" t="s">
        <v>412</v>
      </c>
      <c r="D105" s="5" t="s">
        <v>951</v>
      </c>
      <c r="E105" s="5" t="s">
        <v>952</v>
      </c>
      <c r="F105" s="5" t="s">
        <v>968</v>
      </c>
      <c r="G105" s="5" t="n">
        <v>5</v>
      </c>
      <c r="H105" s="5" t="s">
        <v>924</v>
      </c>
      <c r="I105" s="5" t="s">
        <v>919</v>
      </c>
    </row>
    <row r="106" customFormat="false" ht="15" hidden="false" customHeight="false" outlineLevel="0" collapsed="false">
      <c r="A106" s="5" t="s">
        <v>1059</v>
      </c>
      <c r="B106" s="5" t="s">
        <v>411</v>
      </c>
      <c r="C106" s="5" t="s">
        <v>412</v>
      </c>
      <c r="D106" s="5" t="s">
        <v>927</v>
      </c>
      <c r="E106" s="5" t="s">
        <v>928</v>
      </c>
      <c r="F106" s="5" t="s">
        <v>937</v>
      </c>
      <c r="G106" s="5" t="n">
        <v>13</v>
      </c>
      <c r="H106" s="5" t="s">
        <v>924</v>
      </c>
      <c r="I106" s="5" t="s">
        <v>919</v>
      </c>
    </row>
    <row r="107" customFormat="false" ht="15" hidden="false" customHeight="false" outlineLevel="0" collapsed="false">
      <c r="A107" s="5" t="s">
        <v>1060</v>
      </c>
      <c r="B107" s="5" t="s">
        <v>411</v>
      </c>
      <c r="C107" s="5" t="s">
        <v>412</v>
      </c>
      <c r="D107" s="5" t="s">
        <v>915</v>
      </c>
      <c r="E107" s="5" t="s">
        <v>916</v>
      </c>
      <c r="F107" s="5" t="s">
        <v>935</v>
      </c>
      <c r="G107" s="5" t="n">
        <v>16</v>
      </c>
      <c r="H107" s="5" t="s">
        <v>918</v>
      </c>
      <c r="I107" s="5" t="s">
        <v>919</v>
      </c>
    </row>
    <row r="108" customFormat="false" ht="15" hidden="false" customHeight="false" outlineLevel="0" collapsed="false">
      <c r="A108" s="5" t="s">
        <v>1061</v>
      </c>
      <c r="B108" s="5" t="s">
        <v>419</v>
      </c>
      <c r="C108" s="5" t="s">
        <v>420</v>
      </c>
      <c r="D108" s="5" t="s">
        <v>942</v>
      </c>
      <c r="E108" s="5" t="s">
        <v>943</v>
      </c>
      <c r="F108" s="5" t="s">
        <v>995</v>
      </c>
      <c r="G108" s="5" t="n">
        <v>12</v>
      </c>
      <c r="H108" s="5" t="s">
        <v>931</v>
      </c>
      <c r="I108" s="5" t="s">
        <v>933</v>
      </c>
    </row>
    <row r="109" customFormat="false" ht="15" hidden="false" customHeight="false" outlineLevel="0" collapsed="false">
      <c r="A109" s="5" t="s">
        <v>1062</v>
      </c>
      <c r="B109" s="5" t="s">
        <v>419</v>
      </c>
      <c r="C109" s="5" t="s">
        <v>420</v>
      </c>
      <c r="D109" s="5" t="s">
        <v>951</v>
      </c>
      <c r="E109" s="5" t="s">
        <v>952</v>
      </c>
      <c r="F109" s="5" t="s">
        <v>953</v>
      </c>
      <c r="G109" s="5" t="n">
        <v>14</v>
      </c>
      <c r="H109" s="5" t="s">
        <v>931</v>
      </c>
      <c r="I109" s="5" t="s">
        <v>919</v>
      </c>
    </row>
    <row r="110" customFormat="false" ht="15" hidden="false" customHeight="false" outlineLevel="0" collapsed="false">
      <c r="A110" s="5" t="s">
        <v>1063</v>
      </c>
      <c r="B110" s="5" t="s">
        <v>425</v>
      </c>
      <c r="C110" s="5" t="s">
        <v>426</v>
      </c>
      <c r="D110" s="5" t="s">
        <v>942</v>
      </c>
      <c r="E110" s="5" t="s">
        <v>943</v>
      </c>
      <c r="F110" s="5" t="s">
        <v>962</v>
      </c>
      <c r="G110" s="5" t="n">
        <v>7</v>
      </c>
      <c r="H110" s="5" t="s">
        <v>931</v>
      </c>
      <c r="I110" s="5" t="s">
        <v>919</v>
      </c>
    </row>
    <row r="111" customFormat="false" ht="15" hidden="false" customHeight="false" outlineLevel="0" collapsed="false">
      <c r="A111" s="5" t="s">
        <v>1064</v>
      </c>
      <c r="B111" s="5" t="s">
        <v>425</v>
      </c>
      <c r="C111" s="5" t="s">
        <v>426</v>
      </c>
      <c r="D111" s="5" t="s">
        <v>927</v>
      </c>
      <c r="E111" s="5" t="s">
        <v>928</v>
      </c>
      <c r="F111" s="5" t="s">
        <v>986</v>
      </c>
      <c r="G111" s="5" t="n">
        <v>7</v>
      </c>
      <c r="H111" s="5" t="s">
        <v>931</v>
      </c>
      <c r="I111" s="5" t="s">
        <v>919</v>
      </c>
    </row>
    <row r="112" customFormat="false" ht="15" hidden="false" customHeight="false" outlineLevel="0" collapsed="false">
      <c r="A112" s="5" t="s">
        <v>1065</v>
      </c>
      <c r="B112" s="5" t="s">
        <v>425</v>
      </c>
      <c r="C112" s="5" t="s">
        <v>426</v>
      </c>
      <c r="D112" s="5" t="s">
        <v>946</v>
      </c>
      <c r="E112" s="5" t="s">
        <v>947</v>
      </c>
      <c r="F112" s="5" t="s">
        <v>977</v>
      </c>
      <c r="G112" s="5" t="n">
        <v>22</v>
      </c>
      <c r="H112" s="5" t="s">
        <v>924</v>
      </c>
      <c r="I112" s="5" t="s">
        <v>933</v>
      </c>
    </row>
    <row r="113" customFormat="false" ht="15" hidden="false" customHeight="false" outlineLevel="0" collapsed="false">
      <c r="A113" s="5" t="s">
        <v>1066</v>
      </c>
      <c r="B113" s="5" t="s">
        <v>432</v>
      </c>
      <c r="C113" s="5" t="s">
        <v>433</v>
      </c>
      <c r="D113" s="5" t="s">
        <v>951</v>
      </c>
      <c r="E113" s="5" t="s">
        <v>952</v>
      </c>
      <c r="F113" s="5" t="s">
        <v>972</v>
      </c>
      <c r="G113" s="5" t="n">
        <v>4</v>
      </c>
      <c r="H113" s="5" t="s">
        <v>918</v>
      </c>
      <c r="I113" s="5" t="s">
        <v>919</v>
      </c>
    </row>
    <row r="114" customFormat="false" ht="15" hidden="false" customHeight="false" outlineLevel="0" collapsed="false">
      <c r="A114" s="5" t="s">
        <v>1067</v>
      </c>
      <c r="B114" s="5" t="s">
        <v>432</v>
      </c>
      <c r="C114" s="5" t="s">
        <v>433</v>
      </c>
      <c r="D114" s="5" t="s">
        <v>946</v>
      </c>
      <c r="E114" s="5" t="s">
        <v>947</v>
      </c>
      <c r="F114" s="5" t="s">
        <v>964</v>
      </c>
      <c r="G114" s="5" t="n">
        <v>13</v>
      </c>
      <c r="H114" s="5" t="s">
        <v>924</v>
      </c>
      <c r="I114" s="5" t="s">
        <v>919</v>
      </c>
    </row>
    <row r="115" customFormat="false" ht="15" hidden="false" customHeight="false" outlineLevel="0" collapsed="false">
      <c r="A115" s="5" t="s">
        <v>1068</v>
      </c>
      <c r="B115" s="5" t="s">
        <v>432</v>
      </c>
      <c r="C115" s="5" t="s">
        <v>433</v>
      </c>
      <c r="D115" s="5" t="s">
        <v>921</v>
      </c>
      <c r="E115" s="5" t="s">
        <v>922</v>
      </c>
      <c r="F115" s="5" t="s">
        <v>1041</v>
      </c>
      <c r="G115" s="5" t="n">
        <v>7</v>
      </c>
      <c r="H115" s="5" t="s">
        <v>931</v>
      </c>
      <c r="I115" s="5" t="s">
        <v>933</v>
      </c>
    </row>
    <row r="116" customFormat="false" ht="15" hidden="false" customHeight="false" outlineLevel="0" collapsed="false">
      <c r="A116" s="5" t="s">
        <v>1069</v>
      </c>
      <c r="B116" s="5" t="s">
        <v>439</v>
      </c>
      <c r="C116" s="5" t="s">
        <v>440</v>
      </c>
      <c r="D116" s="5" t="s">
        <v>951</v>
      </c>
      <c r="E116" s="5" t="s">
        <v>952</v>
      </c>
      <c r="F116" s="5" t="s">
        <v>953</v>
      </c>
      <c r="G116" s="5" t="n">
        <v>11</v>
      </c>
      <c r="H116" s="5" t="s">
        <v>924</v>
      </c>
      <c r="I116" s="5" t="s">
        <v>919</v>
      </c>
    </row>
    <row r="117" customFormat="false" ht="15" hidden="false" customHeight="false" outlineLevel="0" collapsed="false">
      <c r="A117" s="5" t="s">
        <v>1070</v>
      </c>
      <c r="B117" s="5" t="s">
        <v>439</v>
      </c>
      <c r="C117" s="5" t="s">
        <v>440</v>
      </c>
      <c r="D117" s="5" t="s">
        <v>946</v>
      </c>
      <c r="E117" s="5" t="s">
        <v>947</v>
      </c>
      <c r="F117" s="5" t="s">
        <v>964</v>
      </c>
      <c r="G117" s="5" t="n">
        <v>25</v>
      </c>
      <c r="H117" s="5" t="s">
        <v>918</v>
      </c>
      <c r="I117" s="5" t="s">
        <v>919</v>
      </c>
    </row>
    <row r="118" customFormat="false" ht="15" hidden="false" customHeight="false" outlineLevel="0" collapsed="false">
      <c r="A118" s="5" t="s">
        <v>1071</v>
      </c>
      <c r="B118" s="5" t="s">
        <v>448</v>
      </c>
      <c r="C118" s="5" t="s">
        <v>449</v>
      </c>
      <c r="D118" s="5" t="s">
        <v>915</v>
      </c>
      <c r="E118" s="5" t="s">
        <v>916</v>
      </c>
      <c r="F118" s="5" t="s">
        <v>1001</v>
      </c>
      <c r="G118" s="5" t="n">
        <v>14</v>
      </c>
      <c r="H118" s="5" t="s">
        <v>924</v>
      </c>
      <c r="I118" s="5" t="s">
        <v>919</v>
      </c>
    </row>
    <row r="119" customFormat="false" ht="15" hidden="false" customHeight="false" outlineLevel="0" collapsed="false">
      <c r="A119" s="5" t="s">
        <v>1072</v>
      </c>
      <c r="B119" s="5" t="s">
        <v>448</v>
      </c>
      <c r="C119" s="5" t="s">
        <v>449</v>
      </c>
      <c r="D119" s="5" t="s">
        <v>927</v>
      </c>
      <c r="E119" s="5" t="s">
        <v>928</v>
      </c>
      <c r="F119" s="5" t="s">
        <v>937</v>
      </c>
      <c r="G119" s="5" t="n">
        <v>7</v>
      </c>
      <c r="H119" s="5" t="s">
        <v>918</v>
      </c>
      <c r="I119" s="5" t="s">
        <v>919</v>
      </c>
    </row>
    <row r="120" customFormat="false" ht="15" hidden="false" customHeight="false" outlineLevel="0" collapsed="false">
      <c r="A120" s="5" t="s">
        <v>1073</v>
      </c>
      <c r="B120" s="5" t="s">
        <v>448</v>
      </c>
      <c r="C120" s="5" t="s">
        <v>449</v>
      </c>
      <c r="D120" s="5" t="s">
        <v>951</v>
      </c>
      <c r="E120" s="5" t="s">
        <v>952</v>
      </c>
      <c r="F120" s="5" t="s">
        <v>972</v>
      </c>
      <c r="G120" s="5" t="n">
        <v>7</v>
      </c>
      <c r="H120" s="5" t="s">
        <v>918</v>
      </c>
      <c r="I120" s="5" t="s">
        <v>919</v>
      </c>
    </row>
    <row r="121" customFormat="false" ht="15" hidden="false" customHeight="false" outlineLevel="0" collapsed="false">
      <c r="A121" s="5" t="s">
        <v>1074</v>
      </c>
      <c r="B121" s="5" t="s">
        <v>455</v>
      </c>
      <c r="C121" s="5" t="s">
        <v>456</v>
      </c>
      <c r="D121" s="5" t="s">
        <v>921</v>
      </c>
      <c r="E121" s="5" t="s">
        <v>922</v>
      </c>
      <c r="F121" s="5" t="s">
        <v>999</v>
      </c>
      <c r="G121" s="5" t="n">
        <v>32</v>
      </c>
      <c r="H121" s="5" t="s">
        <v>931</v>
      </c>
      <c r="I121" s="5" t="s">
        <v>919</v>
      </c>
    </row>
    <row r="122" customFormat="false" ht="15" hidden="false" customHeight="false" outlineLevel="0" collapsed="false">
      <c r="A122" s="5" t="s">
        <v>1075</v>
      </c>
      <c r="B122" s="5" t="s">
        <v>455</v>
      </c>
      <c r="C122" s="5" t="s">
        <v>456</v>
      </c>
      <c r="D122" s="5" t="s">
        <v>915</v>
      </c>
      <c r="E122" s="5" t="s">
        <v>916</v>
      </c>
      <c r="F122" s="5" t="s">
        <v>917</v>
      </c>
      <c r="G122" s="5" t="n">
        <v>4</v>
      </c>
      <c r="H122" s="5" t="s">
        <v>931</v>
      </c>
      <c r="I122" s="5" t="s">
        <v>919</v>
      </c>
    </row>
    <row r="123" customFormat="false" ht="15" hidden="false" customHeight="false" outlineLevel="0" collapsed="false">
      <c r="A123" s="5" t="s">
        <v>1076</v>
      </c>
      <c r="B123" s="5" t="s">
        <v>463</v>
      </c>
      <c r="C123" s="5" t="s">
        <v>464</v>
      </c>
      <c r="D123" s="5" t="s">
        <v>921</v>
      </c>
      <c r="E123" s="5" t="s">
        <v>922</v>
      </c>
      <c r="F123" s="5" t="s">
        <v>970</v>
      </c>
      <c r="G123" s="5" t="n">
        <v>13</v>
      </c>
      <c r="H123" s="5" t="s">
        <v>931</v>
      </c>
      <c r="I123" s="5" t="s">
        <v>919</v>
      </c>
    </row>
    <row r="124" customFormat="false" ht="15" hidden="false" customHeight="false" outlineLevel="0" collapsed="false">
      <c r="A124" s="5" t="s">
        <v>1077</v>
      </c>
      <c r="B124" s="5" t="s">
        <v>463</v>
      </c>
      <c r="C124" s="5" t="s">
        <v>464</v>
      </c>
      <c r="D124" s="5" t="s">
        <v>951</v>
      </c>
      <c r="E124" s="5" t="s">
        <v>952</v>
      </c>
      <c r="F124" s="5" t="s">
        <v>972</v>
      </c>
      <c r="G124" s="5" t="n">
        <v>17</v>
      </c>
      <c r="H124" s="5" t="s">
        <v>931</v>
      </c>
      <c r="I124" s="5" t="s">
        <v>933</v>
      </c>
    </row>
    <row r="125" customFormat="false" ht="15" hidden="false" customHeight="false" outlineLevel="0" collapsed="false">
      <c r="A125" s="5" t="s">
        <v>1078</v>
      </c>
      <c r="B125" s="5" t="s">
        <v>469</v>
      </c>
      <c r="C125" s="5" t="s">
        <v>470</v>
      </c>
      <c r="D125" s="5" t="s">
        <v>942</v>
      </c>
      <c r="E125" s="5" t="s">
        <v>943</v>
      </c>
      <c r="F125" s="5" t="s">
        <v>995</v>
      </c>
      <c r="G125" s="5" t="n">
        <v>8</v>
      </c>
      <c r="H125" s="5" t="s">
        <v>924</v>
      </c>
      <c r="I125" s="5" t="s">
        <v>933</v>
      </c>
    </row>
    <row r="126" customFormat="false" ht="15" hidden="false" customHeight="false" outlineLevel="0" collapsed="false">
      <c r="A126" s="5" t="s">
        <v>1079</v>
      </c>
      <c r="B126" s="5" t="s">
        <v>469</v>
      </c>
      <c r="C126" s="5" t="s">
        <v>470</v>
      </c>
      <c r="D126" s="5" t="s">
        <v>946</v>
      </c>
      <c r="E126" s="5" t="s">
        <v>947</v>
      </c>
      <c r="F126" s="5" t="s">
        <v>948</v>
      </c>
      <c r="G126" s="5" t="n">
        <v>12</v>
      </c>
      <c r="H126" s="5" t="s">
        <v>931</v>
      </c>
      <c r="I126" s="5" t="s">
        <v>933</v>
      </c>
    </row>
    <row r="127" customFormat="false" ht="15" hidden="false" customHeight="false" outlineLevel="0" collapsed="false">
      <c r="A127" s="5" t="s">
        <v>1080</v>
      </c>
      <c r="B127" s="5" t="s">
        <v>469</v>
      </c>
      <c r="C127" s="5" t="s">
        <v>470</v>
      </c>
      <c r="D127" s="5" t="s">
        <v>927</v>
      </c>
      <c r="E127" s="5" t="s">
        <v>928</v>
      </c>
      <c r="F127" s="5" t="s">
        <v>986</v>
      </c>
      <c r="G127" s="5" t="n">
        <v>14</v>
      </c>
      <c r="H127" s="5" t="s">
        <v>918</v>
      </c>
      <c r="I127" s="5" t="s">
        <v>919</v>
      </c>
    </row>
    <row r="128" customFormat="false" ht="15" hidden="false" customHeight="false" outlineLevel="0" collapsed="false">
      <c r="A128" s="5" t="s">
        <v>1081</v>
      </c>
      <c r="B128" s="5" t="s">
        <v>477</v>
      </c>
      <c r="C128" s="5" t="s">
        <v>478</v>
      </c>
      <c r="D128" s="5" t="s">
        <v>921</v>
      </c>
      <c r="E128" s="5" t="s">
        <v>922</v>
      </c>
      <c r="F128" s="5" t="s">
        <v>923</v>
      </c>
      <c r="G128" s="5" t="n">
        <v>18</v>
      </c>
      <c r="H128" s="5" t="s">
        <v>931</v>
      </c>
      <c r="I128" s="5" t="s">
        <v>919</v>
      </c>
    </row>
    <row r="129" customFormat="false" ht="15" hidden="false" customHeight="false" outlineLevel="0" collapsed="false">
      <c r="A129" s="5" t="s">
        <v>1082</v>
      </c>
      <c r="B129" s="5" t="s">
        <v>477</v>
      </c>
      <c r="C129" s="5" t="s">
        <v>478</v>
      </c>
      <c r="D129" s="5" t="s">
        <v>951</v>
      </c>
      <c r="E129" s="5" t="s">
        <v>952</v>
      </c>
      <c r="F129" s="5" t="s">
        <v>953</v>
      </c>
      <c r="G129" s="5" t="n">
        <v>6</v>
      </c>
      <c r="H129" s="5" t="s">
        <v>924</v>
      </c>
      <c r="I129" s="5" t="s">
        <v>919</v>
      </c>
    </row>
    <row r="130" customFormat="false" ht="15" hidden="false" customHeight="false" outlineLevel="0" collapsed="false">
      <c r="A130" s="5" t="s">
        <v>1083</v>
      </c>
      <c r="B130" s="5" t="s">
        <v>485</v>
      </c>
      <c r="C130" s="5" t="s">
        <v>486</v>
      </c>
      <c r="D130" s="5" t="s">
        <v>942</v>
      </c>
      <c r="E130" s="5" t="s">
        <v>943</v>
      </c>
      <c r="F130" s="5" t="s">
        <v>944</v>
      </c>
      <c r="G130" s="5" t="n">
        <v>15</v>
      </c>
      <c r="H130" s="5" t="s">
        <v>924</v>
      </c>
      <c r="I130" s="5" t="s">
        <v>933</v>
      </c>
    </row>
    <row r="131" customFormat="false" ht="15" hidden="false" customHeight="false" outlineLevel="0" collapsed="false">
      <c r="A131" s="5" t="s">
        <v>1084</v>
      </c>
      <c r="B131" s="5" t="s">
        <v>485</v>
      </c>
      <c r="C131" s="5" t="s">
        <v>486</v>
      </c>
      <c r="D131" s="5" t="s">
        <v>946</v>
      </c>
      <c r="E131" s="5" t="s">
        <v>947</v>
      </c>
      <c r="F131" s="5" t="s">
        <v>948</v>
      </c>
      <c r="G131" s="5" t="n">
        <v>12</v>
      </c>
      <c r="H131" s="5" t="s">
        <v>931</v>
      </c>
      <c r="I131" s="5" t="s">
        <v>919</v>
      </c>
    </row>
    <row r="132" customFormat="false" ht="15" hidden="false" customHeight="false" outlineLevel="0" collapsed="false">
      <c r="A132" s="5" t="s">
        <v>1085</v>
      </c>
      <c r="B132" s="5" t="s">
        <v>485</v>
      </c>
      <c r="C132" s="5" t="s">
        <v>486</v>
      </c>
      <c r="D132" s="5" t="s">
        <v>951</v>
      </c>
      <c r="E132" s="5" t="s">
        <v>952</v>
      </c>
      <c r="F132" s="5" t="s">
        <v>953</v>
      </c>
      <c r="G132" s="5" t="n">
        <v>5</v>
      </c>
      <c r="H132" s="5" t="s">
        <v>931</v>
      </c>
      <c r="I132" s="5" t="s">
        <v>919</v>
      </c>
    </row>
    <row r="133" customFormat="false" ht="15" hidden="false" customHeight="false" outlineLevel="0" collapsed="false">
      <c r="A133" s="5" t="s">
        <v>1086</v>
      </c>
      <c r="B133" s="5" t="s">
        <v>493</v>
      </c>
      <c r="C133" s="5" t="s">
        <v>494</v>
      </c>
      <c r="D133" s="5" t="s">
        <v>915</v>
      </c>
      <c r="E133" s="5" t="s">
        <v>916</v>
      </c>
      <c r="F133" s="5" t="s">
        <v>917</v>
      </c>
      <c r="G133" s="5" t="n">
        <v>4</v>
      </c>
      <c r="H133" s="5" t="s">
        <v>931</v>
      </c>
      <c r="I133" s="5" t="s">
        <v>933</v>
      </c>
    </row>
    <row r="134" customFormat="false" ht="15" hidden="false" customHeight="false" outlineLevel="0" collapsed="false">
      <c r="A134" s="5" t="s">
        <v>1087</v>
      </c>
      <c r="B134" s="5" t="s">
        <v>493</v>
      </c>
      <c r="C134" s="5" t="s">
        <v>494</v>
      </c>
      <c r="D134" s="5" t="s">
        <v>927</v>
      </c>
      <c r="E134" s="5" t="s">
        <v>928</v>
      </c>
      <c r="F134" s="5" t="s">
        <v>937</v>
      </c>
      <c r="G134" s="5" t="n">
        <v>8</v>
      </c>
      <c r="H134" s="5" t="s">
        <v>931</v>
      </c>
      <c r="I134" s="5" t="s">
        <v>933</v>
      </c>
    </row>
    <row r="135" customFormat="false" ht="15" hidden="false" customHeight="false" outlineLevel="0" collapsed="false">
      <c r="A135" s="5" t="s">
        <v>1088</v>
      </c>
      <c r="B135" s="5" t="s">
        <v>493</v>
      </c>
      <c r="C135" s="5" t="s">
        <v>494</v>
      </c>
      <c r="D135" s="5" t="s">
        <v>946</v>
      </c>
      <c r="E135" s="5" t="s">
        <v>947</v>
      </c>
      <c r="F135" s="5" t="s">
        <v>977</v>
      </c>
      <c r="G135" s="5" t="n">
        <v>9</v>
      </c>
      <c r="H135" s="5" t="s">
        <v>931</v>
      </c>
      <c r="I135" s="5" t="s">
        <v>919</v>
      </c>
    </row>
    <row r="136" customFormat="false" ht="15" hidden="false" customHeight="false" outlineLevel="0" collapsed="false">
      <c r="A136" s="5" t="s">
        <v>1089</v>
      </c>
      <c r="B136" s="5" t="s">
        <v>500</v>
      </c>
      <c r="C136" s="5" t="s">
        <v>501</v>
      </c>
      <c r="D136" s="5" t="s">
        <v>927</v>
      </c>
      <c r="E136" s="5" t="s">
        <v>928</v>
      </c>
      <c r="F136" s="5" t="s">
        <v>958</v>
      </c>
      <c r="G136" s="5" t="n">
        <v>31</v>
      </c>
      <c r="H136" s="5" t="s">
        <v>918</v>
      </c>
      <c r="I136" s="5" t="s">
        <v>919</v>
      </c>
    </row>
    <row r="137" customFormat="false" ht="15" hidden="false" customHeight="false" outlineLevel="0" collapsed="false">
      <c r="A137" s="5" t="s">
        <v>1090</v>
      </c>
      <c r="B137" s="5" t="s">
        <v>500</v>
      </c>
      <c r="C137" s="5" t="s">
        <v>501</v>
      </c>
      <c r="D137" s="5" t="s">
        <v>915</v>
      </c>
      <c r="E137" s="5" t="s">
        <v>916</v>
      </c>
      <c r="F137" s="5" t="s">
        <v>935</v>
      </c>
      <c r="G137" s="5" t="n">
        <v>5</v>
      </c>
      <c r="H137" s="5" t="s">
        <v>924</v>
      </c>
      <c r="I137" s="5" t="s">
        <v>919</v>
      </c>
    </row>
    <row r="138" customFormat="false" ht="15" hidden="false" customHeight="false" outlineLevel="0" collapsed="false">
      <c r="A138" s="5" t="s">
        <v>1091</v>
      </c>
      <c r="B138" s="5" t="s">
        <v>507</v>
      </c>
      <c r="C138" s="5" t="s">
        <v>508</v>
      </c>
      <c r="D138" s="5" t="s">
        <v>927</v>
      </c>
      <c r="E138" s="5" t="s">
        <v>928</v>
      </c>
      <c r="F138" s="5" t="s">
        <v>986</v>
      </c>
      <c r="G138" s="5" t="n">
        <v>5</v>
      </c>
      <c r="H138" s="5" t="s">
        <v>918</v>
      </c>
      <c r="I138" s="5" t="s">
        <v>933</v>
      </c>
    </row>
    <row r="139" customFormat="false" ht="15" hidden="false" customHeight="false" outlineLevel="0" collapsed="false">
      <c r="A139" s="5" t="s">
        <v>1092</v>
      </c>
      <c r="B139" s="5" t="s">
        <v>507</v>
      </c>
      <c r="C139" s="5" t="s">
        <v>508</v>
      </c>
      <c r="D139" s="5" t="s">
        <v>915</v>
      </c>
      <c r="E139" s="5" t="s">
        <v>916</v>
      </c>
      <c r="F139" s="5" t="s">
        <v>935</v>
      </c>
      <c r="G139" s="5" t="n">
        <v>31</v>
      </c>
      <c r="H139" s="5" t="s">
        <v>918</v>
      </c>
      <c r="I139" s="5" t="s">
        <v>919</v>
      </c>
    </row>
    <row r="140" customFormat="false" ht="15" hidden="false" customHeight="false" outlineLevel="0" collapsed="false">
      <c r="A140" s="5" t="s">
        <v>1093</v>
      </c>
      <c r="B140" s="5" t="s">
        <v>514</v>
      </c>
      <c r="C140" s="5" t="s">
        <v>515</v>
      </c>
      <c r="D140" s="5" t="s">
        <v>915</v>
      </c>
      <c r="E140" s="5" t="s">
        <v>916</v>
      </c>
      <c r="F140" s="5" t="s">
        <v>1001</v>
      </c>
      <c r="G140" s="5" t="n">
        <v>11</v>
      </c>
      <c r="H140" s="5" t="s">
        <v>924</v>
      </c>
      <c r="I140" s="5" t="s">
        <v>933</v>
      </c>
    </row>
    <row r="141" customFormat="false" ht="15" hidden="false" customHeight="false" outlineLevel="0" collapsed="false">
      <c r="A141" s="5" t="s">
        <v>1094</v>
      </c>
      <c r="B141" s="5" t="s">
        <v>514</v>
      </c>
      <c r="C141" s="5" t="s">
        <v>515</v>
      </c>
      <c r="D141" s="5" t="s">
        <v>951</v>
      </c>
      <c r="E141" s="5" t="s">
        <v>952</v>
      </c>
      <c r="F141" s="5" t="s">
        <v>968</v>
      </c>
      <c r="G141" s="5" t="n">
        <v>13</v>
      </c>
      <c r="H141" s="5" t="s">
        <v>918</v>
      </c>
      <c r="I141" s="5" t="s">
        <v>919</v>
      </c>
    </row>
    <row r="142" customFormat="false" ht="15" hidden="false" customHeight="false" outlineLevel="0" collapsed="false">
      <c r="A142" s="5" t="s">
        <v>1095</v>
      </c>
      <c r="B142" s="5" t="s">
        <v>520</v>
      </c>
      <c r="C142" s="5" t="s">
        <v>521</v>
      </c>
      <c r="D142" s="5" t="s">
        <v>915</v>
      </c>
      <c r="E142" s="5" t="s">
        <v>916</v>
      </c>
      <c r="F142" s="5" t="s">
        <v>917</v>
      </c>
      <c r="G142" s="5" t="n">
        <v>12</v>
      </c>
      <c r="H142" s="5" t="s">
        <v>931</v>
      </c>
      <c r="I142" s="5" t="s">
        <v>919</v>
      </c>
    </row>
    <row r="143" customFormat="false" ht="15" hidden="false" customHeight="false" outlineLevel="0" collapsed="false">
      <c r="A143" s="5" t="s">
        <v>1096</v>
      </c>
      <c r="B143" s="5" t="s">
        <v>520</v>
      </c>
      <c r="C143" s="5" t="s">
        <v>521</v>
      </c>
      <c r="D143" s="5" t="s">
        <v>951</v>
      </c>
      <c r="E143" s="5" t="s">
        <v>952</v>
      </c>
      <c r="F143" s="5" t="s">
        <v>968</v>
      </c>
      <c r="G143" s="5" t="n">
        <v>16</v>
      </c>
      <c r="H143" s="5" t="s">
        <v>918</v>
      </c>
      <c r="I143" s="5" t="s">
        <v>919</v>
      </c>
    </row>
    <row r="144" customFormat="false" ht="15" hidden="false" customHeight="false" outlineLevel="0" collapsed="false">
      <c r="A144" s="5" t="s">
        <v>1097</v>
      </c>
      <c r="B144" s="5" t="s">
        <v>525</v>
      </c>
      <c r="C144" s="5" t="s">
        <v>526</v>
      </c>
      <c r="D144" s="5" t="s">
        <v>927</v>
      </c>
      <c r="E144" s="5" t="s">
        <v>928</v>
      </c>
      <c r="F144" s="5" t="s">
        <v>929</v>
      </c>
      <c r="G144" s="5" t="n">
        <v>11</v>
      </c>
      <c r="H144" s="5" t="s">
        <v>931</v>
      </c>
      <c r="I144" s="5" t="s">
        <v>919</v>
      </c>
    </row>
    <row r="145" customFormat="false" ht="15" hidden="false" customHeight="false" outlineLevel="0" collapsed="false">
      <c r="A145" s="5" t="s">
        <v>1098</v>
      </c>
      <c r="B145" s="5" t="s">
        <v>525</v>
      </c>
      <c r="C145" s="5" t="s">
        <v>526</v>
      </c>
      <c r="D145" s="5" t="s">
        <v>915</v>
      </c>
      <c r="E145" s="5" t="s">
        <v>916</v>
      </c>
      <c r="F145" s="5" t="s">
        <v>1001</v>
      </c>
      <c r="G145" s="5" t="n">
        <v>25</v>
      </c>
      <c r="H145" s="5" t="s">
        <v>931</v>
      </c>
      <c r="I145" s="5" t="s">
        <v>919</v>
      </c>
    </row>
    <row r="146" customFormat="false" ht="15" hidden="false" customHeight="false" outlineLevel="0" collapsed="false">
      <c r="A146" s="5" t="s">
        <v>1099</v>
      </c>
      <c r="B146" s="5" t="s">
        <v>531</v>
      </c>
      <c r="C146" s="5" t="s">
        <v>532</v>
      </c>
      <c r="D146" s="5" t="s">
        <v>927</v>
      </c>
      <c r="E146" s="5" t="s">
        <v>928</v>
      </c>
      <c r="F146" s="5" t="s">
        <v>929</v>
      </c>
      <c r="G146" s="5" t="n">
        <v>9</v>
      </c>
      <c r="H146" s="5" t="s">
        <v>931</v>
      </c>
      <c r="I146" s="5" t="s">
        <v>919</v>
      </c>
    </row>
    <row r="147" customFormat="false" ht="15" hidden="false" customHeight="false" outlineLevel="0" collapsed="false">
      <c r="A147" s="5" t="s">
        <v>1100</v>
      </c>
      <c r="B147" s="5" t="s">
        <v>531</v>
      </c>
      <c r="C147" s="5" t="s">
        <v>532</v>
      </c>
      <c r="D147" s="5" t="s">
        <v>915</v>
      </c>
      <c r="E147" s="5" t="s">
        <v>916</v>
      </c>
      <c r="F147" s="5" t="s">
        <v>1001</v>
      </c>
      <c r="G147" s="5" t="n">
        <v>7</v>
      </c>
      <c r="H147" s="5" t="s">
        <v>931</v>
      </c>
      <c r="I147" s="5" t="s">
        <v>933</v>
      </c>
    </row>
    <row r="148" customFormat="false" ht="15" hidden="false" customHeight="false" outlineLevel="0" collapsed="false">
      <c r="A148" s="5" t="s">
        <v>1101</v>
      </c>
      <c r="B148" s="5" t="s">
        <v>531</v>
      </c>
      <c r="C148" s="5" t="s">
        <v>532</v>
      </c>
      <c r="D148" s="5" t="s">
        <v>951</v>
      </c>
      <c r="E148" s="5" t="s">
        <v>952</v>
      </c>
      <c r="F148" s="5" t="s">
        <v>953</v>
      </c>
      <c r="G148" s="5" t="n">
        <v>16</v>
      </c>
      <c r="H148" s="5" t="s">
        <v>918</v>
      </c>
      <c r="I148" s="5" t="s">
        <v>919</v>
      </c>
    </row>
    <row r="149" customFormat="false" ht="15" hidden="false" customHeight="false" outlineLevel="0" collapsed="false">
      <c r="A149" s="5" t="s">
        <v>1102</v>
      </c>
      <c r="B149" s="5" t="s">
        <v>538</v>
      </c>
      <c r="C149" s="5" t="s">
        <v>539</v>
      </c>
      <c r="D149" s="5" t="s">
        <v>942</v>
      </c>
      <c r="E149" s="5" t="s">
        <v>943</v>
      </c>
      <c r="F149" s="5" t="s">
        <v>944</v>
      </c>
      <c r="G149" s="5" t="n">
        <v>18</v>
      </c>
      <c r="H149" s="5" t="s">
        <v>918</v>
      </c>
      <c r="I149" s="5" t="s">
        <v>919</v>
      </c>
    </row>
    <row r="150" customFormat="false" ht="15" hidden="false" customHeight="false" outlineLevel="0" collapsed="false">
      <c r="A150" s="5" t="s">
        <v>1103</v>
      </c>
      <c r="B150" s="5" t="s">
        <v>538</v>
      </c>
      <c r="C150" s="5" t="s">
        <v>539</v>
      </c>
      <c r="D150" s="5" t="s">
        <v>927</v>
      </c>
      <c r="E150" s="5" t="s">
        <v>928</v>
      </c>
      <c r="F150" s="5" t="s">
        <v>937</v>
      </c>
      <c r="G150" s="5" t="n">
        <v>14</v>
      </c>
      <c r="H150" s="5" t="s">
        <v>924</v>
      </c>
      <c r="I150" s="5" t="s">
        <v>933</v>
      </c>
    </row>
    <row r="151" customFormat="false" ht="15" hidden="false" customHeight="false" outlineLevel="0" collapsed="false">
      <c r="A151" s="5" t="s">
        <v>1104</v>
      </c>
      <c r="B151" s="5" t="s">
        <v>545</v>
      </c>
      <c r="C151" s="5" t="s">
        <v>546</v>
      </c>
      <c r="D151" s="5" t="s">
        <v>915</v>
      </c>
      <c r="E151" s="5" t="s">
        <v>916</v>
      </c>
      <c r="F151" s="5" t="s">
        <v>1001</v>
      </c>
      <c r="G151" s="5" t="n">
        <v>12</v>
      </c>
      <c r="H151" s="5" t="s">
        <v>931</v>
      </c>
      <c r="I151" s="5" t="s">
        <v>919</v>
      </c>
    </row>
    <row r="152" customFormat="false" ht="15" hidden="false" customHeight="false" outlineLevel="0" collapsed="false">
      <c r="A152" s="5" t="s">
        <v>1105</v>
      </c>
      <c r="B152" s="5" t="s">
        <v>545</v>
      </c>
      <c r="C152" s="5" t="s">
        <v>546</v>
      </c>
      <c r="D152" s="5" t="s">
        <v>927</v>
      </c>
      <c r="E152" s="5" t="s">
        <v>928</v>
      </c>
      <c r="F152" s="5" t="s">
        <v>929</v>
      </c>
      <c r="G152" s="5" t="n">
        <v>22</v>
      </c>
      <c r="H152" s="5" t="s">
        <v>931</v>
      </c>
      <c r="I152" s="5" t="s">
        <v>919</v>
      </c>
    </row>
    <row r="153" customFormat="false" ht="15" hidden="false" customHeight="false" outlineLevel="0" collapsed="false">
      <c r="A153" s="5" t="s">
        <v>1106</v>
      </c>
      <c r="B153" s="5" t="s">
        <v>551</v>
      </c>
      <c r="C153" s="5" t="s">
        <v>552</v>
      </c>
      <c r="D153" s="5" t="s">
        <v>942</v>
      </c>
      <c r="E153" s="5" t="s">
        <v>943</v>
      </c>
      <c r="F153" s="5" t="s">
        <v>944</v>
      </c>
      <c r="G153" s="5" t="n">
        <v>28</v>
      </c>
      <c r="H153" s="5" t="s">
        <v>918</v>
      </c>
      <c r="I153" s="5" t="s">
        <v>919</v>
      </c>
    </row>
    <row r="154" customFormat="false" ht="15" hidden="false" customHeight="false" outlineLevel="0" collapsed="false">
      <c r="A154" s="5" t="s">
        <v>1107</v>
      </c>
      <c r="B154" s="5" t="s">
        <v>559</v>
      </c>
      <c r="C154" s="5" t="s">
        <v>560</v>
      </c>
      <c r="D154" s="5" t="s">
        <v>915</v>
      </c>
      <c r="E154" s="5" t="s">
        <v>916</v>
      </c>
      <c r="F154" s="5" t="s">
        <v>935</v>
      </c>
      <c r="G154" s="5" t="n">
        <v>12</v>
      </c>
      <c r="H154" s="5" t="s">
        <v>931</v>
      </c>
      <c r="I154" s="5" t="s">
        <v>919</v>
      </c>
    </row>
    <row r="155" customFormat="false" ht="15" hidden="false" customHeight="false" outlineLevel="0" collapsed="false">
      <c r="A155" s="5" t="s">
        <v>1108</v>
      </c>
      <c r="B155" s="5" t="s">
        <v>565</v>
      </c>
      <c r="C155" s="5" t="s">
        <v>566</v>
      </c>
      <c r="D155" s="5" t="s">
        <v>921</v>
      </c>
      <c r="E155" s="5" t="s">
        <v>922</v>
      </c>
      <c r="F155" s="5" t="s">
        <v>999</v>
      </c>
      <c r="G155" s="5" t="n">
        <v>13</v>
      </c>
      <c r="H155" s="5" t="s">
        <v>931</v>
      </c>
      <c r="I155" s="5" t="s">
        <v>919</v>
      </c>
    </row>
    <row r="156" customFormat="false" ht="15" hidden="false" customHeight="false" outlineLevel="0" collapsed="false">
      <c r="A156" s="5" t="s">
        <v>1109</v>
      </c>
      <c r="B156" s="5" t="s">
        <v>565</v>
      </c>
      <c r="C156" s="5" t="s">
        <v>566</v>
      </c>
      <c r="D156" s="5" t="s">
        <v>951</v>
      </c>
      <c r="E156" s="5" t="s">
        <v>952</v>
      </c>
      <c r="F156" s="5" t="s">
        <v>968</v>
      </c>
      <c r="G156" s="5" t="n">
        <v>13</v>
      </c>
      <c r="H156" s="5" t="s">
        <v>924</v>
      </c>
      <c r="I156" s="5" t="s">
        <v>933</v>
      </c>
    </row>
    <row r="157" customFormat="false" ht="15" hidden="false" customHeight="false" outlineLevel="0" collapsed="false">
      <c r="A157" s="5" t="s">
        <v>1110</v>
      </c>
      <c r="B157" s="5" t="s">
        <v>571</v>
      </c>
      <c r="C157" s="5" t="s">
        <v>572</v>
      </c>
      <c r="D157" s="5" t="s">
        <v>915</v>
      </c>
      <c r="E157" s="5" t="s">
        <v>916</v>
      </c>
      <c r="F157" s="5" t="s">
        <v>935</v>
      </c>
      <c r="G157" s="5" t="n">
        <v>20</v>
      </c>
      <c r="H157" s="5" t="s">
        <v>918</v>
      </c>
      <c r="I157" s="5" t="s">
        <v>933</v>
      </c>
    </row>
    <row r="158" customFormat="false" ht="15" hidden="false" customHeight="false" outlineLevel="0" collapsed="false">
      <c r="A158" s="5" t="s">
        <v>1111</v>
      </c>
      <c r="B158" s="5" t="s">
        <v>571</v>
      </c>
      <c r="C158" s="5" t="s">
        <v>572</v>
      </c>
      <c r="D158" s="5" t="s">
        <v>927</v>
      </c>
      <c r="E158" s="5" t="s">
        <v>928</v>
      </c>
      <c r="F158" s="5" t="s">
        <v>929</v>
      </c>
      <c r="G158" s="5" t="n">
        <v>8</v>
      </c>
      <c r="H158" s="5" t="s">
        <v>931</v>
      </c>
      <c r="I158" s="5" t="s">
        <v>919</v>
      </c>
    </row>
    <row r="159" customFormat="false" ht="15" hidden="false" customHeight="false" outlineLevel="0" collapsed="false">
      <c r="A159" s="5" t="s">
        <v>1112</v>
      </c>
      <c r="B159" s="5" t="s">
        <v>578</v>
      </c>
      <c r="C159" s="5" t="s">
        <v>579</v>
      </c>
      <c r="D159" s="5" t="s">
        <v>915</v>
      </c>
      <c r="E159" s="5" t="s">
        <v>916</v>
      </c>
      <c r="F159" s="5" t="s">
        <v>935</v>
      </c>
      <c r="G159" s="5" t="n">
        <v>17</v>
      </c>
      <c r="H159" s="5" t="s">
        <v>924</v>
      </c>
      <c r="I159" s="5" t="s">
        <v>919</v>
      </c>
    </row>
    <row r="160" customFormat="false" ht="15" hidden="false" customHeight="false" outlineLevel="0" collapsed="false">
      <c r="A160" s="5" t="s">
        <v>1113</v>
      </c>
      <c r="B160" s="5" t="s">
        <v>578</v>
      </c>
      <c r="C160" s="5" t="s">
        <v>579</v>
      </c>
      <c r="D160" s="5" t="s">
        <v>927</v>
      </c>
      <c r="E160" s="5" t="s">
        <v>928</v>
      </c>
      <c r="F160" s="5" t="s">
        <v>986</v>
      </c>
      <c r="G160" s="5" t="n">
        <v>13</v>
      </c>
      <c r="H160" s="5" t="s">
        <v>918</v>
      </c>
      <c r="I160" s="5" t="s">
        <v>919</v>
      </c>
    </row>
    <row r="161" customFormat="false" ht="15" hidden="false" customHeight="false" outlineLevel="0" collapsed="false">
      <c r="A161" s="5" t="s">
        <v>1114</v>
      </c>
      <c r="B161" s="5" t="s">
        <v>584</v>
      </c>
      <c r="C161" s="5" t="s">
        <v>585</v>
      </c>
      <c r="D161" s="5" t="s">
        <v>921</v>
      </c>
      <c r="E161" s="5" t="s">
        <v>922</v>
      </c>
      <c r="F161" s="5" t="s">
        <v>999</v>
      </c>
      <c r="G161" s="5" t="n">
        <v>16</v>
      </c>
      <c r="H161" s="5" t="s">
        <v>924</v>
      </c>
      <c r="I161" s="5" t="s">
        <v>919</v>
      </c>
    </row>
    <row r="162" customFormat="false" ht="15" hidden="false" customHeight="false" outlineLevel="0" collapsed="false">
      <c r="A162" s="5" t="s">
        <v>1115</v>
      </c>
      <c r="B162" s="5" t="s">
        <v>590</v>
      </c>
      <c r="C162" s="5" t="s">
        <v>591</v>
      </c>
      <c r="D162" s="5" t="s">
        <v>927</v>
      </c>
      <c r="E162" s="5" t="s">
        <v>928</v>
      </c>
      <c r="F162" s="5" t="s">
        <v>937</v>
      </c>
      <c r="G162" s="5" t="n">
        <v>20</v>
      </c>
      <c r="H162" s="5" t="s">
        <v>931</v>
      </c>
      <c r="I162" s="5" t="s">
        <v>919</v>
      </c>
    </row>
    <row r="163" customFormat="false" ht="15" hidden="false" customHeight="false" outlineLevel="0" collapsed="false">
      <c r="A163" s="5" t="s">
        <v>1116</v>
      </c>
      <c r="B163" s="5" t="s">
        <v>590</v>
      </c>
      <c r="C163" s="5" t="s">
        <v>591</v>
      </c>
      <c r="D163" s="5" t="s">
        <v>915</v>
      </c>
      <c r="E163" s="5" t="s">
        <v>916</v>
      </c>
      <c r="F163" s="5" t="s">
        <v>917</v>
      </c>
      <c r="G163" s="5" t="n">
        <v>7</v>
      </c>
      <c r="H163" s="5" t="s">
        <v>924</v>
      </c>
      <c r="I163" s="5" t="s">
        <v>919</v>
      </c>
    </row>
    <row r="164" customFormat="false" ht="15" hidden="false" customHeight="false" outlineLevel="0" collapsed="false">
      <c r="A164" s="5" t="s">
        <v>1117</v>
      </c>
      <c r="B164" s="5" t="s">
        <v>590</v>
      </c>
      <c r="C164" s="5" t="s">
        <v>591</v>
      </c>
      <c r="D164" s="5" t="s">
        <v>942</v>
      </c>
      <c r="E164" s="5" t="s">
        <v>943</v>
      </c>
      <c r="F164" s="5" t="s">
        <v>1038</v>
      </c>
      <c r="G164" s="5" t="n">
        <v>9</v>
      </c>
      <c r="H164" s="5" t="s">
        <v>931</v>
      </c>
      <c r="I164" s="5" t="s">
        <v>919</v>
      </c>
    </row>
    <row r="165" customFormat="false" ht="15" hidden="false" customHeight="false" outlineLevel="0" collapsed="false">
      <c r="A165" s="5" t="s">
        <v>1118</v>
      </c>
      <c r="B165" s="5" t="s">
        <v>596</v>
      </c>
      <c r="C165" s="5" t="s">
        <v>597</v>
      </c>
      <c r="D165" s="5" t="s">
        <v>951</v>
      </c>
      <c r="E165" s="5" t="s">
        <v>952</v>
      </c>
      <c r="F165" s="5" t="s">
        <v>960</v>
      </c>
      <c r="G165" s="5" t="n">
        <v>24</v>
      </c>
      <c r="H165" s="5" t="s">
        <v>931</v>
      </c>
      <c r="I165" s="5" t="s">
        <v>919</v>
      </c>
    </row>
    <row r="166" customFormat="false" ht="15" hidden="false" customHeight="false" outlineLevel="0" collapsed="false">
      <c r="A166" s="5" t="s">
        <v>1119</v>
      </c>
      <c r="B166" s="5" t="s">
        <v>596</v>
      </c>
      <c r="C166" s="5" t="s">
        <v>597</v>
      </c>
      <c r="D166" s="5" t="s">
        <v>915</v>
      </c>
      <c r="E166" s="5" t="s">
        <v>916</v>
      </c>
      <c r="F166" s="5" t="s">
        <v>940</v>
      </c>
      <c r="G166" s="5" t="n">
        <v>4</v>
      </c>
      <c r="H166" s="5" t="s">
        <v>924</v>
      </c>
      <c r="I166" s="5" t="s">
        <v>933</v>
      </c>
    </row>
    <row r="167" customFormat="false" ht="15" hidden="false" customHeight="false" outlineLevel="0" collapsed="false">
      <c r="A167" s="5" t="s">
        <v>1120</v>
      </c>
      <c r="B167" s="5" t="s">
        <v>602</v>
      </c>
      <c r="C167" s="5" t="s">
        <v>603</v>
      </c>
      <c r="D167" s="5" t="s">
        <v>927</v>
      </c>
      <c r="E167" s="5" t="s">
        <v>928</v>
      </c>
      <c r="F167" s="5" t="s">
        <v>986</v>
      </c>
      <c r="G167" s="5" t="n">
        <v>6</v>
      </c>
      <c r="H167" s="5" t="s">
        <v>931</v>
      </c>
      <c r="I167" s="5" t="s">
        <v>919</v>
      </c>
    </row>
    <row r="168" customFormat="false" ht="15" hidden="false" customHeight="false" outlineLevel="0" collapsed="false">
      <c r="A168" s="5" t="s">
        <v>1121</v>
      </c>
      <c r="B168" s="5" t="s">
        <v>602</v>
      </c>
      <c r="C168" s="5" t="s">
        <v>603</v>
      </c>
      <c r="D168" s="5" t="s">
        <v>915</v>
      </c>
      <c r="E168" s="5" t="s">
        <v>916</v>
      </c>
      <c r="F168" s="5" t="s">
        <v>935</v>
      </c>
      <c r="G168" s="5" t="n">
        <v>13</v>
      </c>
      <c r="H168" s="5" t="s">
        <v>924</v>
      </c>
      <c r="I168" s="5" t="s">
        <v>933</v>
      </c>
    </row>
    <row r="169" customFormat="false" ht="15" hidden="false" customHeight="false" outlineLevel="0" collapsed="false">
      <c r="A169" s="5" t="s">
        <v>1122</v>
      </c>
      <c r="B169" s="5" t="s">
        <v>602</v>
      </c>
      <c r="C169" s="5" t="s">
        <v>603</v>
      </c>
      <c r="D169" s="5" t="s">
        <v>921</v>
      </c>
      <c r="E169" s="5" t="s">
        <v>922</v>
      </c>
      <c r="F169" s="5" t="s">
        <v>923</v>
      </c>
      <c r="G169" s="5" t="n">
        <v>5</v>
      </c>
      <c r="H169" s="5" t="s">
        <v>924</v>
      </c>
      <c r="I169" s="5" t="s">
        <v>933</v>
      </c>
    </row>
    <row r="170" customFormat="false" ht="15" hidden="false" customHeight="false" outlineLevel="0" collapsed="false">
      <c r="A170" s="5" t="s">
        <v>1123</v>
      </c>
      <c r="B170" s="5" t="s">
        <v>606</v>
      </c>
      <c r="C170" s="5" t="s">
        <v>607</v>
      </c>
      <c r="D170" s="5" t="s">
        <v>942</v>
      </c>
      <c r="E170" s="5" t="s">
        <v>943</v>
      </c>
      <c r="F170" s="5" t="s">
        <v>995</v>
      </c>
      <c r="G170" s="5" t="n">
        <v>28</v>
      </c>
      <c r="H170" s="5" t="s">
        <v>931</v>
      </c>
      <c r="I170" s="5" t="s">
        <v>919</v>
      </c>
    </row>
    <row r="171" customFormat="false" ht="15" hidden="false" customHeight="false" outlineLevel="0" collapsed="false">
      <c r="A171" s="5" t="s">
        <v>1124</v>
      </c>
      <c r="B171" s="5" t="s">
        <v>606</v>
      </c>
      <c r="C171" s="5" t="s">
        <v>607</v>
      </c>
      <c r="D171" s="5" t="s">
        <v>946</v>
      </c>
      <c r="E171" s="5" t="s">
        <v>947</v>
      </c>
      <c r="F171" s="5" t="s">
        <v>948</v>
      </c>
      <c r="G171" s="5" t="n">
        <v>6</v>
      </c>
      <c r="H171" s="5" t="s">
        <v>924</v>
      </c>
      <c r="I171" s="5" t="s">
        <v>933</v>
      </c>
    </row>
    <row r="172" customFormat="false" ht="15" hidden="false" customHeight="false" outlineLevel="0" collapsed="false">
      <c r="A172" s="5" t="s">
        <v>1125</v>
      </c>
      <c r="B172" s="5" t="s">
        <v>611</v>
      </c>
      <c r="C172" s="5" t="s">
        <v>612</v>
      </c>
      <c r="D172" s="5" t="s">
        <v>942</v>
      </c>
      <c r="E172" s="5" t="s">
        <v>943</v>
      </c>
      <c r="F172" s="5" t="s">
        <v>1038</v>
      </c>
      <c r="G172" s="5" t="n">
        <v>4</v>
      </c>
      <c r="H172" s="5" t="s">
        <v>931</v>
      </c>
      <c r="I172" s="5" t="s">
        <v>933</v>
      </c>
    </row>
    <row r="173" customFormat="false" ht="15" hidden="false" customHeight="false" outlineLevel="0" collapsed="false">
      <c r="A173" s="5" t="s">
        <v>1126</v>
      </c>
      <c r="B173" s="5" t="s">
        <v>611</v>
      </c>
      <c r="C173" s="5" t="s">
        <v>612</v>
      </c>
      <c r="D173" s="5" t="s">
        <v>951</v>
      </c>
      <c r="E173" s="5" t="s">
        <v>952</v>
      </c>
      <c r="F173" s="5" t="s">
        <v>953</v>
      </c>
      <c r="G173" s="5" t="n">
        <v>6</v>
      </c>
      <c r="H173" s="5" t="s">
        <v>924</v>
      </c>
      <c r="I173" s="5" t="s">
        <v>919</v>
      </c>
    </row>
    <row r="174" customFormat="false" ht="15" hidden="false" customHeight="false" outlineLevel="0" collapsed="false">
      <c r="A174" s="5" t="s">
        <v>1127</v>
      </c>
      <c r="B174" s="5" t="s">
        <v>611</v>
      </c>
      <c r="C174" s="5" t="s">
        <v>612</v>
      </c>
      <c r="D174" s="5" t="s">
        <v>946</v>
      </c>
      <c r="E174" s="5" t="s">
        <v>947</v>
      </c>
      <c r="F174" s="5" t="s">
        <v>977</v>
      </c>
      <c r="G174" s="5" t="n">
        <v>14</v>
      </c>
      <c r="H174" s="5" t="s">
        <v>931</v>
      </c>
      <c r="I174" s="5" t="s">
        <v>919</v>
      </c>
    </row>
    <row r="175" customFormat="false" ht="15" hidden="false" customHeight="false" outlineLevel="0" collapsed="false">
      <c r="A175" s="5" t="s">
        <v>1128</v>
      </c>
      <c r="B175" s="5" t="s">
        <v>619</v>
      </c>
      <c r="C175" s="5" t="s">
        <v>620</v>
      </c>
      <c r="D175" s="5" t="s">
        <v>915</v>
      </c>
      <c r="E175" s="5" t="s">
        <v>916</v>
      </c>
      <c r="F175" s="5" t="s">
        <v>917</v>
      </c>
      <c r="G175" s="5" t="n">
        <v>18</v>
      </c>
      <c r="H175" s="5" t="s">
        <v>918</v>
      </c>
      <c r="I175" s="5" t="s">
        <v>919</v>
      </c>
    </row>
    <row r="176" customFormat="false" ht="15" hidden="false" customHeight="false" outlineLevel="0" collapsed="false">
      <c r="A176" s="5" t="s">
        <v>1129</v>
      </c>
      <c r="B176" s="5" t="s">
        <v>619</v>
      </c>
      <c r="C176" s="5" t="s">
        <v>620</v>
      </c>
      <c r="D176" s="5" t="s">
        <v>951</v>
      </c>
      <c r="E176" s="5" t="s">
        <v>952</v>
      </c>
      <c r="F176" s="5" t="s">
        <v>960</v>
      </c>
      <c r="G176" s="5" t="n">
        <v>14</v>
      </c>
      <c r="H176" s="5" t="s">
        <v>924</v>
      </c>
      <c r="I176" s="5" t="s">
        <v>919</v>
      </c>
    </row>
    <row r="177" customFormat="false" ht="15" hidden="false" customHeight="false" outlineLevel="0" collapsed="false">
      <c r="A177" s="5" t="s">
        <v>1130</v>
      </c>
      <c r="B177" s="5" t="s">
        <v>626</v>
      </c>
      <c r="C177" s="5" t="s">
        <v>627</v>
      </c>
      <c r="D177" s="5" t="s">
        <v>921</v>
      </c>
      <c r="E177" s="5" t="s">
        <v>922</v>
      </c>
      <c r="F177" s="5" t="s">
        <v>970</v>
      </c>
      <c r="G177" s="5" t="n">
        <v>12</v>
      </c>
      <c r="H177" s="5" t="s">
        <v>931</v>
      </c>
      <c r="I177" s="5" t="s">
        <v>919</v>
      </c>
    </row>
    <row r="178" customFormat="false" ht="15" hidden="false" customHeight="false" outlineLevel="0" collapsed="false">
      <c r="A178" s="5" t="s">
        <v>1131</v>
      </c>
      <c r="B178" s="5" t="s">
        <v>634</v>
      </c>
      <c r="C178" s="5" t="s">
        <v>204</v>
      </c>
      <c r="D178" s="5" t="s">
        <v>915</v>
      </c>
      <c r="E178" s="5" t="s">
        <v>916</v>
      </c>
      <c r="F178" s="5" t="s">
        <v>1001</v>
      </c>
      <c r="G178" s="5" t="n">
        <v>19</v>
      </c>
      <c r="H178" s="5" t="s">
        <v>931</v>
      </c>
      <c r="I178" s="5" t="s">
        <v>919</v>
      </c>
    </row>
    <row r="179" customFormat="false" ht="15" hidden="false" customHeight="false" outlineLevel="0" collapsed="false">
      <c r="A179" s="5" t="s">
        <v>1132</v>
      </c>
      <c r="B179" s="5" t="s">
        <v>634</v>
      </c>
      <c r="C179" s="5" t="s">
        <v>204</v>
      </c>
      <c r="D179" s="5" t="s">
        <v>927</v>
      </c>
      <c r="E179" s="5" t="s">
        <v>928</v>
      </c>
      <c r="F179" s="5" t="s">
        <v>929</v>
      </c>
      <c r="G179" s="5" t="n">
        <v>17</v>
      </c>
      <c r="H179" s="5" t="s">
        <v>924</v>
      </c>
      <c r="I179" s="5" t="s">
        <v>919</v>
      </c>
    </row>
    <row r="180" customFormat="false" ht="15" hidden="false" customHeight="false" outlineLevel="0" collapsed="false">
      <c r="A180" s="5" t="s">
        <v>1133</v>
      </c>
      <c r="B180" s="5" t="s">
        <v>638</v>
      </c>
      <c r="C180" s="5" t="s">
        <v>639</v>
      </c>
      <c r="D180" s="5" t="s">
        <v>942</v>
      </c>
      <c r="E180" s="5" t="s">
        <v>943</v>
      </c>
      <c r="F180" s="5" t="s">
        <v>1038</v>
      </c>
      <c r="G180" s="5" t="n">
        <v>19</v>
      </c>
      <c r="H180" s="5" t="s">
        <v>931</v>
      </c>
      <c r="I180" s="5" t="s">
        <v>919</v>
      </c>
    </row>
    <row r="181" customFormat="false" ht="15" hidden="false" customHeight="false" outlineLevel="0" collapsed="false">
      <c r="A181" s="5" t="s">
        <v>1134</v>
      </c>
      <c r="B181" s="5" t="s">
        <v>638</v>
      </c>
      <c r="C181" s="5" t="s">
        <v>639</v>
      </c>
      <c r="D181" s="5" t="s">
        <v>946</v>
      </c>
      <c r="E181" s="5" t="s">
        <v>947</v>
      </c>
      <c r="F181" s="5" t="s">
        <v>974</v>
      </c>
      <c r="G181" s="5" t="n">
        <v>11</v>
      </c>
      <c r="H181" s="5" t="s">
        <v>931</v>
      </c>
      <c r="I181" s="5" t="s">
        <v>919</v>
      </c>
    </row>
    <row r="182" customFormat="false" ht="15" hidden="false" customHeight="false" outlineLevel="0" collapsed="false">
      <c r="A182" s="5" t="s">
        <v>1135</v>
      </c>
      <c r="B182" s="5" t="s">
        <v>646</v>
      </c>
      <c r="C182" s="5" t="s">
        <v>647</v>
      </c>
      <c r="D182" s="5" t="s">
        <v>915</v>
      </c>
      <c r="E182" s="5" t="s">
        <v>916</v>
      </c>
      <c r="F182" s="5" t="s">
        <v>917</v>
      </c>
      <c r="G182" s="5" t="n">
        <v>4</v>
      </c>
      <c r="H182" s="5" t="s">
        <v>918</v>
      </c>
      <c r="I182" s="5" t="s">
        <v>933</v>
      </c>
    </row>
    <row r="183" customFormat="false" ht="15" hidden="false" customHeight="false" outlineLevel="0" collapsed="false">
      <c r="A183" s="5" t="s">
        <v>1136</v>
      </c>
      <c r="B183" s="5" t="s">
        <v>646</v>
      </c>
      <c r="C183" s="5" t="s">
        <v>647</v>
      </c>
      <c r="D183" s="5" t="s">
        <v>951</v>
      </c>
      <c r="E183" s="5" t="s">
        <v>952</v>
      </c>
      <c r="F183" s="5" t="s">
        <v>972</v>
      </c>
      <c r="G183" s="5" t="n">
        <v>21</v>
      </c>
      <c r="H183" s="5" t="s">
        <v>931</v>
      </c>
      <c r="I183" s="5" t="s">
        <v>919</v>
      </c>
    </row>
    <row r="184" customFormat="false" ht="15" hidden="false" customHeight="false" outlineLevel="0" collapsed="false">
      <c r="A184" s="5" t="s">
        <v>1137</v>
      </c>
      <c r="B184" s="5" t="s">
        <v>646</v>
      </c>
      <c r="C184" s="5" t="s">
        <v>647</v>
      </c>
      <c r="D184" s="5" t="s">
        <v>921</v>
      </c>
      <c r="E184" s="5" t="s">
        <v>922</v>
      </c>
      <c r="F184" s="5" t="s">
        <v>999</v>
      </c>
      <c r="G184" s="5" t="n">
        <v>9</v>
      </c>
      <c r="H184" s="5" t="s">
        <v>924</v>
      </c>
      <c r="I184" s="5" t="s">
        <v>933</v>
      </c>
    </row>
    <row r="185" customFormat="false" ht="15" hidden="false" customHeight="false" outlineLevel="0" collapsed="false">
      <c r="A185" s="5" t="s">
        <v>1138</v>
      </c>
      <c r="B185" s="5" t="s">
        <v>652</v>
      </c>
      <c r="C185" s="5" t="s">
        <v>653</v>
      </c>
      <c r="D185" s="5" t="s">
        <v>921</v>
      </c>
      <c r="E185" s="5" t="s">
        <v>922</v>
      </c>
      <c r="F185" s="5" t="s">
        <v>970</v>
      </c>
      <c r="G185" s="5" t="n">
        <v>18</v>
      </c>
      <c r="H185" s="5" t="s">
        <v>931</v>
      </c>
      <c r="I185" s="5" t="s">
        <v>933</v>
      </c>
    </row>
    <row r="186" customFormat="false" ht="15" hidden="false" customHeight="false" outlineLevel="0" collapsed="false">
      <c r="A186" s="5" t="s">
        <v>1139</v>
      </c>
      <c r="B186" s="5" t="s">
        <v>652</v>
      </c>
      <c r="C186" s="5" t="s">
        <v>653</v>
      </c>
      <c r="D186" s="5" t="s">
        <v>942</v>
      </c>
      <c r="E186" s="5" t="s">
        <v>943</v>
      </c>
      <c r="F186" s="5" t="s">
        <v>1038</v>
      </c>
      <c r="G186" s="5" t="n">
        <v>6</v>
      </c>
      <c r="H186" s="5" t="s">
        <v>924</v>
      </c>
      <c r="I186" s="5" t="s">
        <v>919</v>
      </c>
    </row>
    <row r="187" customFormat="false" ht="15" hidden="false" customHeight="false" outlineLevel="0" collapsed="false">
      <c r="A187" s="5" t="s">
        <v>1140</v>
      </c>
      <c r="B187" s="5" t="s">
        <v>652</v>
      </c>
      <c r="C187" s="5" t="s">
        <v>653</v>
      </c>
      <c r="D187" s="5" t="s">
        <v>951</v>
      </c>
      <c r="E187" s="5" t="s">
        <v>952</v>
      </c>
      <c r="F187" s="5" t="s">
        <v>972</v>
      </c>
      <c r="G187" s="5" t="n">
        <v>12</v>
      </c>
      <c r="H187" s="5" t="s">
        <v>931</v>
      </c>
      <c r="I187" s="5" t="s">
        <v>919</v>
      </c>
    </row>
    <row r="188" customFormat="false" ht="15" hidden="false" customHeight="false" outlineLevel="0" collapsed="false">
      <c r="A188" s="5" t="s">
        <v>1141</v>
      </c>
      <c r="B188" s="5" t="s">
        <v>659</v>
      </c>
      <c r="C188" s="5" t="s">
        <v>660</v>
      </c>
      <c r="D188" s="5" t="s">
        <v>915</v>
      </c>
      <c r="E188" s="5" t="s">
        <v>916</v>
      </c>
      <c r="F188" s="5" t="s">
        <v>935</v>
      </c>
      <c r="G188" s="5" t="n">
        <v>4</v>
      </c>
      <c r="H188" s="5" t="s">
        <v>918</v>
      </c>
      <c r="I188" s="5" t="s">
        <v>933</v>
      </c>
    </row>
    <row r="189" customFormat="false" ht="15" hidden="false" customHeight="false" outlineLevel="0" collapsed="false">
      <c r="A189" s="5" t="s">
        <v>1142</v>
      </c>
      <c r="B189" s="5" t="s">
        <v>659</v>
      </c>
      <c r="C189" s="5" t="s">
        <v>660</v>
      </c>
      <c r="D189" s="5" t="s">
        <v>927</v>
      </c>
      <c r="E189" s="5" t="s">
        <v>928</v>
      </c>
      <c r="F189" s="5" t="s">
        <v>958</v>
      </c>
      <c r="G189" s="5" t="n">
        <v>8</v>
      </c>
      <c r="H189" s="5" t="s">
        <v>924</v>
      </c>
      <c r="I189" s="5" t="s">
        <v>919</v>
      </c>
    </row>
    <row r="190" customFormat="false" ht="15" hidden="false" customHeight="false" outlineLevel="0" collapsed="false">
      <c r="A190" s="5" t="s">
        <v>1143</v>
      </c>
      <c r="B190" s="5" t="s">
        <v>659</v>
      </c>
      <c r="C190" s="5" t="s">
        <v>660</v>
      </c>
      <c r="D190" s="5" t="s">
        <v>921</v>
      </c>
      <c r="E190" s="5" t="s">
        <v>922</v>
      </c>
      <c r="F190" s="5" t="s">
        <v>999</v>
      </c>
      <c r="G190" s="5" t="n">
        <v>12</v>
      </c>
      <c r="H190" s="5" t="s">
        <v>918</v>
      </c>
      <c r="I190" s="5" t="s">
        <v>919</v>
      </c>
    </row>
    <row r="191" customFormat="false" ht="15" hidden="false" customHeight="false" outlineLevel="0" collapsed="false">
      <c r="A191" s="5" t="s">
        <v>1144</v>
      </c>
      <c r="B191" s="5" t="s">
        <v>665</v>
      </c>
      <c r="C191" s="5" t="s">
        <v>666</v>
      </c>
      <c r="D191" s="5" t="s">
        <v>951</v>
      </c>
      <c r="E191" s="5" t="s">
        <v>952</v>
      </c>
      <c r="F191" s="5" t="s">
        <v>972</v>
      </c>
      <c r="G191" s="5" t="n">
        <v>7</v>
      </c>
      <c r="H191" s="5" t="s">
        <v>931</v>
      </c>
      <c r="I191" s="5" t="s">
        <v>919</v>
      </c>
    </row>
    <row r="192" customFormat="false" ht="15" hidden="false" customHeight="false" outlineLevel="0" collapsed="false">
      <c r="A192" s="5" t="s">
        <v>1145</v>
      </c>
      <c r="B192" s="5" t="s">
        <v>665</v>
      </c>
      <c r="C192" s="5" t="s">
        <v>666</v>
      </c>
      <c r="D192" s="5" t="s">
        <v>946</v>
      </c>
      <c r="E192" s="5" t="s">
        <v>947</v>
      </c>
      <c r="F192" s="5" t="s">
        <v>948</v>
      </c>
      <c r="G192" s="5" t="n">
        <v>8</v>
      </c>
      <c r="H192" s="5" t="s">
        <v>918</v>
      </c>
      <c r="I192" s="5" t="s">
        <v>919</v>
      </c>
    </row>
    <row r="193" customFormat="false" ht="15" hidden="false" customHeight="false" outlineLevel="0" collapsed="false">
      <c r="A193" s="5" t="s">
        <v>1146</v>
      </c>
      <c r="B193" s="5" t="s">
        <v>665</v>
      </c>
      <c r="C193" s="5" t="s">
        <v>666</v>
      </c>
      <c r="D193" s="5" t="s">
        <v>921</v>
      </c>
      <c r="E193" s="5" t="s">
        <v>922</v>
      </c>
      <c r="F193" s="5" t="s">
        <v>923</v>
      </c>
      <c r="G193" s="5" t="n">
        <v>13</v>
      </c>
      <c r="H193" s="5" t="s">
        <v>918</v>
      </c>
      <c r="I193" s="5" t="s">
        <v>933</v>
      </c>
    </row>
    <row r="194" customFormat="false" ht="15" hidden="false" customHeight="false" outlineLevel="0" collapsed="false">
      <c r="A194" s="5" t="s">
        <v>1147</v>
      </c>
      <c r="B194" s="5" t="s">
        <v>672</v>
      </c>
      <c r="C194" s="5" t="s">
        <v>673</v>
      </c>
      <c r="D194" s="5" t="s">
        <v>951</v>
      </c>
      <c r="E194" s="5" t="s">
        <v>952</v>
      </c>
      <c r="F194" s="5" t="s">
        <v>960</v>
      </c>
      <c r="G194" s="5" t="n">
        <v>8</v>
      </c>
      <c r="H194" s="5" t="s">
        <v>931</v>
      </c>
      <c r="I194" s="5" t="s">
        <v>919</v>
      </c>
    </row>
    <row r="195" customFormat="false" ht="15" hidden="false" customHeight="false" outlineLevel="0" collapsed="false">
      <c r="A195" s="5" t="s">
        <v>1148</v>
      </c>
      <c r="B195" s="5" t="s">
        <v>672</v>
      </c>
      <c r="C195" s="5" t="s">
        <v>673</v>
      </c>
      <c r="D195" s="5" t="s">
        <v>915</v>
      </c>
      <c r="E195" s="5" t="s">
        <v>916</v>
      </c>
      <c r="F195" s="5" t="s">
        <v>935</v>
      </c>
      <c r="G195" s="5" t="n">
        <v>14</v>
      </c>
      <c r="H195" s="5" t="s">
        <v>918</v>
      </c>
      <c r="I195" s="5" t="s">
        <v>933</v>
      </c>
    </row>
    <row r="196" customFormat="false" ht="15" hidden="false" customHeight="false" outlineLevel="0" collapsed="false">
      <c r="A196" s="5" t="s">
        <v>1149</v>
      </c>
      <c r="B196" s="5" t="s">
        <v>672</v>
      </c>
      <c r="C196" s="5" t="s">
        <v>673</v>
      </c>
      <c r="D196" s="5" t="s">
        <v>927</v>
      </c>
      <c r="E196" s="5" t="s">
        <v>928</v>
      </c>
      <c r="F196" s="5" t="s">
        <v>937</v>
      </c>
      <c r="G196" s="5" t="n">
        <v>4</v>
      </c>
      <c r="H196" s="5" t="s">
        <v>931</v>
      </c>
      <c r="I196" s="5" t="s">
        <v>933</v>
      </c>
    </row>
    <row r="197" customFormat="false" ht="15" hidden="false" customHeight="false" outlineLevel="0" collapsed="false">
      <c r="A197" s="5" t="s">
        <v>1150</v>
      </c>
      <c r="B197" s="5" t="s">
        <v>679</v>
      </c>
      <c r="C197" s="5" t="s">
        <v>680</v>
      </c>
      <c r="D197" s="5" t="s">
        <v>951</v>
      </c>
      <c r="E197" s="5" t="s">
        <v>952</v>
      </c>
      <c r="F197" s="5" t="s">
        <v>960</v>
      </c>
      <c r="G197" s="5" t="n">
        <v>25</v>
      </c>
      <c r="H197" s="5" t="s">
        <v>918</v>
      </c>
      <c r="I197" s="5" t="s">
        <v>919</v>
      </c>
    </row>
    <row r="198" customFormat="false" ht="15" hidden="false" customHeight="false" outlineLevel="0" collapsed="false">
      <c r="A198" s="5" t="s">
        <v>1151</v>
      </c>
      <c r="B198" s="5" t="s">
        <v>679</v>
      </c>
      <c r="C198" s="5" t="s">
        <v>680</v>
      </c>
      <c r="D198" s="5" t="s">
        <v>946</v>
      </c>
      <c r="E198" s="5" t="s">
        <v>947</v>
      </c>
      <c r="F198" s="5" t="s">
        <v>948</v>
      </c>
      <c r="G198" s="5" t="n">
        <v>5</v>
      </c>
      <c r="H198" s="5" t="s">
        <v>918</v>
      </c>
      <c r="I198" s="5" t="s">
        <v>919</v>
      </c>
    </row>
    <row r="199" customFormat="false" ht="15" hidden="false" customHeight="false" outlineLevel="0" collapsed="false">
      <c r="A199" s="5" t="s">
        <v>1152</v>
      </c>
      <c r="B199" s="5" t="s">
        <v>686</v>
      </c>
      <c r="C199" s="5" t="s">
        <v>687</v>
      </c>
      <c r="D199" s="5" t="s">
        <v>921</v>
      </c>
      <c r="E199" s="5" t="s">
        <v>922</v>
      </c>
      <c r="F199" s="5" t="s">
        <v>970</v>
      </c>
      <c r="G199" s="5" t="n">
        <v>14</v>
      </c>
      <c r="H199" s="5" t="s">
        <v>924</v>
      </c>
      <c r="I199" s="5" t="s">
        <v>919</v>
      </c>
    </row>
    <row r="200" customFormat="false" ht="15" hidden="false" customHeight="false" outlineLevel="0" collapsed="false">
      <c r="A200" s="5" t="s">
        <v>1153</v>
      </c>
      <c r="B200" s="5" t="s">
        <v>686</v>
      </c>
      <c r="C200" s="5" t="s">
        <v>687</v>
      </c>
      <c r="D200" s="5" t="s">
        <v>951</v>
      </c>
      <c r="E200" s="5" t="s">
        <v>952</v>
      </c>
      <c r="F200" s="5" t="s">
        <v>972</v>
      </c>
      <c r="G200" s="5" t="n">
        <v>6</v>
      </c>
      <c r="H200" s="5" t="s">
        <v>924</v>
      </c>
      <c r="I200" s="5" t="s">
        <v>919</v>
      </c>
    </row>
    <row r="201" customFormat="false" ht="15" hidden="false" customHeight="false" outlineLevel="0" collapsed="false">
      <c r="A201" s="5" t="s">
        <v>1154</v>
      </c>
      <c r="B201" s="5" t="s">
        <v>686</v>
      </c>
      <c r="C201" s="5" t="s">
        <v>687</v>
      </c>
      <c r="D201" s="5" t="s">
        <v>915</v>
      </c>
      <c r="E201" s="5" t="s">
        <v>916</v>
      </c>
      <c r="F201" s="5" t="s">
        <v>917</v>
      </c>
      <c r="G201" s="5" t="n">
        <v>10</v>
      </c>
      <c r="H201" s="5" t="s">
        <v>918</v>
      </c>
      <c r="I201" s="5" t="s">
        <v>919</v>
      </c>
    </row>
    <row r="202" customFormat="false" ht="15" hidden="false" customHeight="false" outlineLevel="0" collapsed="false">
      <c r="A202" s="5" t="s">
        <v>1155</v>
      </c>
      <c r="B202" s="5" t="s">
        <v>694</v>
      </c>
      <c r="C202" s="5" t="s">
        <v>695</v>
      </c>
      <c r="D202" s="5" t="s">
        <v>951</v>
      </c>
      <c r="E202" s="5" t="s">
        <v>952</v>
      </c>
      <c r="F202" s="5" t="s">
        <v>960</v>
      </c>
      <c r="G202" s="5" t="n">
        <v>5</v>
      </c>
      <c r="H202" s="5" t="s">
        <v>931</v>
      </c>
      <c r="I202" s="5" t="s">
        <v>919</v>
      </c>
    </row>
    <row r="203" customFormat="false" ht="15" hidden="false" customHeight="false" outlineLevel="0" collapsed="false">
      <c r="A203" s="5" t="s">
        <v>1156</v>
      </c>
      <c r="B203" s="5" t="s">
        <v>694</v>
      </c>
      <c r="C203" s="5" t="s">
        <v>695</v>
      </c>
      <c r="D203" s="5" t="s">
        <v>927</v>
      </c>
      <c r="E203" s="5" t="s">
        <v>928</v>
      </c>
      <c r="F203" s="5" t="s">
        <v>958</v>
      </c>
      <c r="G203" s="5" t="n">
        <v>12</v>
      </c>
      <c r="H203" s="5" t="s">
        <v>931</v>
      </c>
      <c r="I203" s="5" t="s">
        <v>919</v>
      </c>
    </row>
    <row r="204" customFormat="false" ht="15" hidden="false" customHeight="false" outlineLevel="0" collapsed="false">
      <c r="A204" s="5" t="s">
        <v>1157</v>
      </c>
      <c r="B204" s="5" t="s">
        <v>694</v>
      </c>
      <c r="C204" s="5" t="s">
        <v>695</v>
      </c>
      <c r="D204" s="5" t="s">
        <v>915</v>
      </c>
      <c r="E204" s="5" t="s">
        <v>916</v>
      </c>
      <c r="F204" s="5" t="s">
        <v>1001</v>
      </c>
      <c r="G204" s="5" t="n">
        <v>9</v>
      </c>
      <c r="H204" s="5" t="s">
        <v>924</v>
      </c>
      <c r="I204" s="5" t="s">
        <v>919</v>
      </c>
    </row>
    <row r="205" customFormat="false" ht="15" hidden="false" customHeight="false" outlineLevel="0" collapsed="false">
      <c r="A205" s="5" t="s">
        <v>1158</v>
      </c>
      <c r="B205" s="5" t="s">
        <v>699</v>
      </c>
      <c r="C205" s="5" t="s">
        <v>700</v>
      </c>
      <c r="D205" s="5" t="s">
        <v>951</v>
      </c>
      <c r="E205" s="5" t="s">
        <v>952</v>
      </c>
      <c r="F205" s="5" t="s">
        <v>968</v>
      </c>
      <c r="G205" s="5" t="n">
        <v>7</v>
      </c>
      <c r="H205" s="5" t="s">
        <v>931</v>
      </c>
      <c r="I205" s="5" t="s">
        <v>919</v>
      </c>
    </row>
    <row r="206" customFormat="false" ht="15" hidden="false" customHeight="false" outlineLevel="0" collapsed="false">
      <c r="A206" s="5" t="s">
        <v>1159</v>
      </c>
      <c r="B206" s="5" t="s">
        <v>699</v>
      </c>
      <c r="C206" s="5" t="s">
        <v>700</v>
      </c>
      <c r="D206" s="5" t="s">
        <v>927</v>
      </c>
      <c r="E206" s="5" t="s">
        <v>928</v>
      </c>
      <c r="F206" s="5" t="s">
        <v>958</v>
      </c>
      <c r="G206" s="5" t="n">
        <v>11</v>
      </c>
      <c r="H206" s="5" t="s">
        <v>918</v>
      </c>
      <c r="I206" s="5" t="s">
        <v>933</v>
      </c>
    </row>
    <row r="207" customFormat="false" ht="15" hidden="false" customHeight="false" outlineLevel="0" collapsed="false">
      <c r="A207" s="5" t="s">
        <v>1160</v>
      </c>
      <c r="B207" s="5" t="s">
        <v>699</v>
      </c>
      <c r="C207" s="5" t="s">
        <v>700</v>
      </c>
      <c r="D207" s="5" t="s">
        <v>915</v>
      </c>
      <c r="E207" s="5" t="s">
        <v>916</v>
      </c>
      <c r="F207" s="5" t="s">
        <v>917</v>
      </c>
      <c r="G207" s="5" t="n">
        <v>6</v>
      </c>
      <c r="H207" s="5" t="s">
        <v>931</v>
      </c>
      <c r="I207" s="5" t="s">
        <v>919</v>
      </c>
    </row>
    <row r="208" customFormat="false" ht="15" hidden="false" customHeight="false" outlineLevel="0" collapsed="false">
      <c r="A208" s="5" t="s">
        <v>1161</v>
      </c>
      <c r="B208" s="5" t="s">
        <v>706</v>
      </c>
      <c r="C208" s="5" t="s">
        <v>707</v>
      </c>
      <c r="D208" s="5" t="s">
        <v>915</v>
      </c>
      <c r="E208" s="5" t="s">
        <v>916</v>
      </c>
      <c r="F208" s="5" t="s">
        <v>1001</v>
      </c>
      <c r="G208" s="5" t="n">
        <v>6</v>
      </c>
      <c r="H208" s="5" t="s">
        <v>931</v>
      </c>
      <c r="I208" s="5" t="s">
        <v>933</v>
      </c>
    </row>
    <row r="209" customFormat="false" ht="15" hidden="false" customHeight="false" outlineLevel="0" collapsed="false">
      <c r="A209" s="5" t="s">
        <v>1162</v>
      </c>
      <c r="B209" s="5" t="s">
        <v>706</v>
      </c>
      <c r="C209" s="5" t="s">
        <v>707</v>
      </c>
      <c r="D209" s="5" t="s">
        <v>946</v>
      </c>
      <c r="E209" s="5" t="s">
        <v>947</v>
      </c>
      <c r="F209" s="5" t="s">
        <v>977</v>
      </c>
      <c r="G209" s="5" t="n">
        <v>5</v>
      </c>
      <c r="H209" s="5" t="s">
        <v>924</v>
      </c>
      <c r="I209" s="5" t="s">
        <v>919</v>
      </c>
    </row>
    <row r="210" customFormat="false" ht="15" hidden="false" customHeight="false" outlineLevel="0" collapsed="false">
      <c r="A210" s="5" t="s">
        <v>1163</v>
      </c>
      <c r="B210" s="5" t="s">
        <v>706</v>
      </c>
      <c r="C210" s="5" t="s">
        <v>707</v>
      </c>
      <c r="D210" s="5" t="s">
        <v>951</v>
      </c>
      <c r="E210" s="5" t="s">
        <v>952</v>
      </c>
      <c r="F210" s="5" t="s">
        <v>960</v>
      </c>
      <c r="G210" s="5" t="n">
        <v>13</v>
      </c>
      <c r="H210" s="5" t="s">
        <v>931</v>
      </c>
      <c r="I210" s="5" t="s">
        <v>919</v>
      </c>
    </row>
    <row r="211" customFormat="false" ht="15" hidden="false" customHeight="false" outlineLevel="0" collapsed="false">
      <c r="A211" s="5" t="s">
        <v>1164</v>
      </c>
      <c r="B211" s="5" t="s">
        <v>711</v>
      </c>
      <c r="C211" s="5" t="s">
        <v>712</v>
      </c>
      <c r="D211" s="5" t="s">
        <v>951</v>
      </c>
      <c r="E211" s="5" t="s">
        <v>952</v>
      </c>
      <c r="F211" s="5" t="s">
        <v>968</v>
      </c>
      <c r="G211" s="5" t="n">
        <v>20</v>
      </c>
      <c r="H211" s="5" t="s">
        <v>918</v>
      </c>
      <c r="I211" s="5" t="s">
        <v>933</v>
      </c>
    </row>
    <row r="212" customFormat="false" ht="15" hidden="false" customHeight="false" outlineLevel="0" collapsed="false">
      <c r="A212" s="5" t="s">
        <v>1165</v>
      </c>
      <c r="B212" s="5" t="s">
        <v>711</v>
      </c>
      <c r="C212" s="5" t="s">
        <v>712</v>
      </c>
      <c r="D212" s="5" t="s">
        <v>946</v>
      </c>
      <c r="E212" s="5" t="s">
        <v>947</v>
      </c>
      <c r="F212" s="5" t="s">
        <v>948</v>
      </c>
      <c r="G212" s="5" t="n">
        <v>18</v>
      </c>
      <c r="H212" s="5" t="s">
        <v>924</v>
      </c>
      <c r="I212" s="5" t="s">
        <v>933</v>
      </c>
    </row>
    <row r="213" customFormat="false" ht="15" hidden="false" customHeight="false" outlineLevel="0" collapsed="false">
      <c r="A213" s="5" t="s">
        <v>1166</v>
      </c>
      <c r="B213" s="5" t="s">
        <v>711</v>
      </c>
      <c r="C213" s="5" t="s">
        <v>712</v>
      </c>
      <c r="D213" s="5" t="s">
        <v>927</v>
      </c>
      <c r="E213" s="5" t="s">
        <v>928</v>
      </c>
      <c r="F213" s="5" t="s">
        <v>937</v>
      </c>
      <c r="G213" s="5" t="n">
        <v>14</v>
      </c>
      <c r="H213" s="5" t="s">
        <v>924</v>
      </c>
      <c r="I213" s="5" t="s">
        <v>919</v>
      </c>
    </row>
    <row r="214" customFormat="false" ht="15" hidden="false" customHeight="false" outlineLevel="0" collapsed="false">
      <c r="A214" s="5" t="s">
        <v>1167</v>
      </c>
      <c r="B214" s="5" t="s">
        <v>717</v>
      </c>
      <c r="C214" s="5" t="s">
        <v>718</v>
      </c>
      <c r="D214" s="5" t="s">
        <v>951</v>
      </c>
      <c r="E214" s="5" t="s">
        <v>952</v>
      </c>
      <c r="F214" s="5" t="s">
        <v>953</v>
      </c>
      <c r="G214" s="5" t="n">
        <v>11</v>
      </c>
      <c r="H214" s="5" t="s">
        <v>924</v>
      </c>
      <c r="I214" s="5" t="s">
        <v>919</v>
      </c>
    </row>
    <row r="215" customFormat="false" ht="15" hidden="false" customHeight="false" outlineLevel="0" collapsed="false">
      <c r="A215" s="5" t="s">
        <v>1168</v>
      </c>
      <c r="B215" s="5" t="s">
        <v>717</v>
      </c>
      <c r="C215" s="5" t="s">
        <v>718</v>
      </c>
      <c r="D215" s="5" t="s">
        <v>946</v>
      </c>
      <c r="E215" s="5" t="s">
        <v>947</v>
      </c>
      <c r="F215" s="5" t="s">
        <v>977</v>
      </c>
      <c r="G215" s="5" t="n">
        <v>15</v>
      </c>
      <c r="H215" s="5" t="s">
        <v>931</v>
      </c>
      <c r="I215" s="5" t="s">
        <v>919</v>
      </c>
    </row>
    <row r="216" customFormat="false" ht="15" hidden="false" customHeight="false" outlineLevel="0" collapsed="false">
      <c r="A216" s="5" t="s">
        <v>1169</v>
      </c>
      <c r="B216" s="5" t="s">
        <v>723</v>
      </c>
      <c r="C216" s="5" t="s">
        <v>724</v>
      </c>
      <c r="D216" s="5" t="s">
        <v>951</v>
      </c>
      <c r="E216" s="5" t="s">
        <v>952</v>
      </c>
      <c r="F216" s="5" t="s">
        <v>960</v>
      </c>
      <c r="G216" s="5" t="n">
        <v>15</v>
      </c>
      <c r="H216" s="5" t="s">
        <v>931</v>
      </c>
      <c r="I216" s="5" t="s">
        <v>919</v>
      </c>
    </row>
    <row r="217" customFormat="false" ht="15" hidden="false" customHeight="false" outlineLevel="0" collapsed="false">
      <c r="A217" s="5" t="s">
        <v>1170</v>
      </c>
      <c r="B217" s="5" t="s">
        <v>723</v>
      </c>
      <c r="C217" s="5" t="s">
        <v>724</v>
      </c>
      <c r="D217" s="5" t="s">
        <v>915</v>
      </c>
      <c r="E217" s="5" t="s">
        <v>916</v>
      </c>
      <c r="F217" s="5" t="s">
        <v>935</v>
      </c>
      <c r="G217" s="5" t="n">
        <v>4</v>
      </c>
      <c r="H217" s="5" t="s">
        <v>931</v>
      </c>
      <c r="I217" s="5" t="s">
        <v>919</v>
      </c>
    </row>
    <row r="218" customFormat="false" ht="15" hidden="false" customHeight="false" outlineLevel="0" collapsed="false">
      <c r="A218" s="5" t="s">
        <v>1171</v>
      </c>
      <c r="B218" s="5" t="s">
        <v>723</v>
      </c>
      <c r="C218" s="5" t="s">
        <v>724</v>
      </c>
      <c r="D218" s="5" t="s">
        <v>927</v>
      </c>
      <c r="E218" s="5" t="s">
        <v>928</v>
      </c>
      <c r="F218" s="5" t="s">
        <v>958</v>
      </c>
      <c r="G218" s="5" t="n">
        <v>15</v>
      </c>
      <c r="H218" s="5" t="s">
        <v>931</v>
      </c>
      <c r="I218" s="5" t="s">
        <v>933</v>
      </c>
    </row>
    <row r="219" customFormat="false" ht="15" hidden="false" customHeight="false" outlineLevel="0" collapsed="false">
      <c r="A219" s="5" t="s">
        <v>1172</v>
      </c>
      <c r="B219" s="5" t="s">
        <v>729</v>
      </c>
      <c r="C219" s="5" t="s">
        <v>730</v>
      </c>
      <c r="D219" s="5" t="s">
        <v>921</v>
      </c>
      <c r="E219" s="5" t="s">
        <v>922</v>
      </c>
      <c r="F219" s="5" t="s">
        <v>970</v>
      </c>
      <c r="G219" s="5" t="n">
        <v>16</v>
      </c>
      <c r="H219" s="5" t="s">
        <v>931</v>
      </c>
      <c r="I219" s="5" t="s">
        <v>919</v>
      </c>
    </row>
    <row r="220" customFormat="false" ht="15" hidden="false" customHeight="false" outlineLevel="0" collapsed="false">
      <c r="A220" s="5" t="s">
        <v>1173</v>
      </c>
      <c r="B220" s="5" t="s">
        <v>729</v>
      </c>
      <c r="C220" s="5" t="s">
        <v>730</v>
      </c>
      <c r="D220" s="5" t="s">
        <v>915</v>
      </c>
      <c r="E220" s="5" t="s">
        <v>916</v>
      </c>
      <c r="F220" s="5" t="s">
        <v>940</v>
      </c>
      <c r="G220" s="5" t="n">
        <v>16</v>
      </c>
      <c r="H220" s="5" t="s">
        <v>918</v>
      </c>
      <c r="I220" s="5" t="s">
        <v>933</v>
      </c>
    </row>
    <row r="221" customFormat="false" ht="15" hidden="false" customHeight="false" outlineLevel="0" collapsed="false">
      <c r="A221" s="5" t="s">
        <v>1174</v>
      </c>
      <c r="B221" s="5" t="s">
        <v>735</v>
      </c>
      <c r="C221" s="5" t="s">
        <v>736</v>
      </c>
      <c r="D221" s="5" t="s">
        <v>942</v>
      </c>
      <c r="E221" s="5" t="s">
        <v>943</v>
      </c>
      <c r="F221" s="5" t="s">
        <v>944</v>
      </c>
      <c r="G221" s="5" t="n">
        <v>22</v>
      </c>
      <c r="H221" s="5" t="s">
        <v>931</v>
      </c>
      <c r="I221" s="5" t="s">
        <v>919</v>
      </c>
    </row>
    <row r="222" customFormat="false" ht="15" hidden="false" customHeight="false" outlineLevel="0" collapsed="false">
      <c r="A222" s="5" t="s">
        <v>1175</v>
      </c>
      <c r="B222" s="5" t="s">
        <v>735</v>
      </c>
      <c r="C222" s="5" t="s">
        <v>736</v>
      </c>
      <c r="D222" s="5" t="s">
        <v>927</v>
      </c>
      <c r="E222" s="5" t="s">
        <v>928</v>
      </c>
      <c r="F222" s="5" t="s">
        <v>937</v>
      </c>
      <c r="G222" s="5" t="n">
        <v>14</v>
      </c>
      <c r="H222" s="5" t="s">
        <v>931</v>
      </c>
      <c r="I222" s="5" t="s">
        <v>919</v>
      </c>
    </row>
    <row r="223" customFormat="false" ht="15" hidden="false" customHeight="false" outlineLevel="0" collapsed="false">
      <c r="A223" s="5" t="s">
        <v>1176</v>
      </c>
      <c r="B223" s="5" t="s">
        <v>735</v>
      </c>
      <c r="C223" s="5" t="s">
        <v>736</v>
      </c>
      <c r="D223" s="5" t="s">
        <v>946</v>
      </c>
      <c r="E223" s="5" t="s">
        <v>947</v>
      </c>
      <c r="F223" s="5" t="s">
        <v>977</v>
      </c>
      <c r="G223" s="5" t="n">
        <v>12</v>
      </c>
      <c r="H223" s="5" t="s">
        <v>931</v>
      </c>
      <c r="I223" s="5" t="s">
        <v>919</v>
      </c>
    </row>
    <row r="224" customFormat="false" ht="15" hidden="false" customHeight="false" outlineLevel="0" collapsed="false">
      <c r="A224" s="5" t="s">
        <v>1177</v>
      </c>
      <c r="B224" s="5" t="s">
        <v>743</v>
      </c>
      <c r="C224" s="5" t="s">
        <v>137</v>
      </c>
      <c r="D224" s="5" t="s">
        <v>921</v>
      </c>
      <c r="E224" s="5" t="s">
        <v>922</v>
      </c>
      <c r="F224" s="5" t="s">
        <v>970</v>
      </c>
      <c r="G224" s="5" t="n">
        <v>4</v>
      </c>
      <c r="H224" s="5" t="s">
        <v>931</v>
      </c>
      <c r="I224" s="5" t="s">
        <v>919</v>
      </c>
    </row>
    <row r="225" customFormat="false" ht="15" hidden="false" customHeight="false" outlineLevel="0" collapsed="false">
      <c r="A225" s="5" t="s">
        <v>1178</v>
      </c>
      <c r="B225" s="5" t="s">
        <v>743</v>
      </c>
      <c r="C225" s="5" t="s">
        <v>137</v>
      </c>
      <c r="D225" s="5" t="s">
        <v>951</v>
      </c>
      <c r="E225" s="5" t="s">
        <v>952</v>
      </c>
      <c r="F225" s="5" t="s">
        <v>972</v>
      </c>
      <c r="G225" s="5" t="n">
        <v>20</v>
      </c>
      <c r="H225" s="5" t="s">
        <v>924</v>
      </c>
      <c r="I225" s="5" t="s">
        <v>919</v>
      </c>
    </row>
    <row r="226" customFormat="false" ht="15" hidden="false" customHeight="false" outlineLevel="0" collapsed="false">
      <c r="A226" s="5" t="s">
        <v>1179</v>
      </c>
      <c r="B226" s="5" t="s">
        <v>743</v>
      </c>
      <c r="C226" s="5" t="s">
        <v>137</v>
      </c>
      <c r="D226" s="5" t="s">
        <v>915</v>
      </c>
      <c r="E226" s="5" t="s">
        <v>916</v>
      </c>
      <c r="F226" s="5" t="s">
        <v>1001</v>
      </c>
      <c r="G226" s="5" t="n">
        <v>8</v>
      </c>
      <c r="H226" s="5" t="s">
        <v>931</v>
      </c>
      <c r="I226" s="5" t="s">
        <v>919</v>
      </c>
    </row>
    <row r="227" customFormat="false" ht="15" hidden="false" customHeight="false" outlineLevel="0" collapsed="false">
      <c r="A227" s="5" t="s">
        <v>1180</v>
      </c>
      <c r="B227" s="5" t="s">
        <v>748</v>
      </c>
      <c r="C227" s="5" t="s">
        <v>749</v>
      </c>
      <c r="D227" s="5" t="s">
        <v>951</v>
      </c>
      <c r="E227" s="5" t="s">
        <v>952</v>
      </c>
      <c r="F227" s="5" t="s">
        <v>953</v>
      </c>
      <c r="G227" s="5" t="n">
        <v>18</v>
      </c>
      <c r="H227" s="5" t="s">
        <v>918</v>
      </c>
      <c r="I227" s="5" t="s">
        <v>919</v>
      </c>
    </row>
    <row r="228" customFormat="false" ht="15" hidden="false" customHeight="false" outlineLevel="0" collapsed="false">
      <c r="A228" s="5" t="s">
        <v>1181</v>
      </c>
      <c r="B228" s="5" t="s">
        <v>748</v>
      </c>
      <c r="C228" s="5" t="s">
        <v>749</v>
      </c>
      <c r="D228" s="5" t="s">
        <v>921</v>
      </c>
      <c r="E228" s="5" t="s">
        <v>922</v>
      </c>
      <c r="F228" s="5" t="s">
        <v>923</v>
      </c>
      <c r="G228" s="5" t="n">
        <v>16</v>
      </c>
      <c r="H228" s="5" t="s">
        <v>931</v>
      </c>
      <c r="I228" s="5" t="s">
        <v>919</v>
      </c>
    </row>
    <row r="229" customFormat="false" ht="15" hidden="false" customHeight="false" outlineLevel="0" collapsed="false">
      <c r="A229" s="5" t="s">
        <v>1182</v>
      </c>
      <c r="B229" s="5" t="s">
        <v>754</v>
      </c>
      <c r="C229" s="5" t="s">
        <v>755</v>
      </c>
      <c r="D229" s="5" t="s">
        <v>951</v>
      </c>
      <c r="E229" s="5" t="s">
        <v>952</v>
      </c>
      <c r="F229" s="5" t="s">
        <v>953</v>
      </c>
      <c r="G229" s="5" t="n">
        <v>14</v>
      </c>
      <c r="H229" s="5" t="s">
        <v>931</v>
      </c>
      <c r="I229" s="5" t="s">
        <v>933</v>
      </c>
    </row>
    <row r="230" customFormat="false" ht="15" hidden="false" customHeight="false" outlineLevel="0" collapsed="false">
      <c r="A230" s="5" t="s">
        <v>1183</v>
      </c>
      <c r="B230" s="5" t="s">
        <v>761</v>
      </c>
      <c r="C230" s="5" t="s">
        <v>762</v>
      </c>
      <c r="D230" s="5" t="s">
        <v>951</v>
      </c>
      <c r="E230" s="5" t="s">
        <v>952</v>
      </c>
      <c r="F230" s="5" t="s">
        <v>960</v>
      </c>
      <c r="G230" s="5" t="n">
        <v>8</v>
      </c>
      <c r="H230" s="5" t="s">
        <v>924</v>
      </c>
      <c r="I230" s="5" t="s">
        <v>919</v>
      </c>
    </row>
    <row r="231" customFormat="false" ht="15" hidden="false" customHeight="false" outlineLevel="0" collapsed="false">
      <c r="A231" s="5" t="s">
        <v>1184</v>
      </c>
      <c r="B231" s="5" t="s">
        <v>761</v>
      </c>
      <c r="C231" s="5" t="s">
        <v>762</v>
      </c>
      <c r="D231" s="5" t="s">
        <v>946</v>
      </c>
      <c r="E231" s="5" t="s">
        <v>947</v>
      </c>
      <c r="F231" s="5" t="s">
        <v>964</v>
      </c>
      <c r="G231" s="5" t="n">
        <v>16</v>
      </c>
      <c r="H231" s="5" t="s">
        <v>931</v>
      </c>
      <c r="I231" s="5" t="s">
        <v>919</v>
      </c>
    </row>
    <row r="232" customFormat="false" ht="15" hidden="false" customHeight="false" outlineLevel="0" collapsed="false">
      <c r="A232" s="5" t="s">
        <v>1185</v>
      </c>
      <c r="B232" s="5" t="s">
        <v>767</v>
      </c>
      <c r="C232" s="5" t="s">
        <v>768</v>
      </c>
      <c r="D232" s="5" t="s">
        <v>921</v>
      </c>
      <c r="E232" s="5" t="s">
        <v>922</v>
      </c>
      <c r="F232" s="5" t="s">
        <v>999</v>
      </c>
      <c r="G232" s="5" t="n">
        <v>6</v>
      </c>
      <c r="H232" s="5" t="s">
        <v>924</v>
      </c>
      <c r="I232" s="5" t="s">
        <v>919</v>
      </c>
    </row>
    <row r="233" customFormat="false" ht="15" hidden="false" customHeight="false" outlineLevel="0" collapsed="false">
      <c r="A233" s="5" t="s">
        <v>1186</v>
      </c>
      <c r="B233" s="5" t="s">
        <v>767</v>
      </c>
      <c r="C233" s="5" t="s">
        <v>768</v>
      </c>
      <c r="D233" s="5" t="s">
        <v>927</v>
      </c>
      <c r="E233" s="5" t="s">
        <v>928</v>
      </c>
      <c r="F233" s="5" t="s">
        <v>958</v>
      </c>
      <c r="G233" s="5" t="n">
        <v>30</v>
      </c>
      <c r="H233" s="5" t="s">
        <v>931</v>
      </c>
      <c r="I233" s="5" t="s">
        <v>919</v>
      </c>
    </row>
    <row r="234" customFormat="false" ht="15" hidden="false" customHeight="false" outlineLevel="0" collapsed="false">
      <c r="A234" s="5" t="s">
        <v>1187</v>
      </c>
      <c r="B234" s="5" t="s">
        <v>773</v>
      </c>
      <c r="C234" s="5" t="s">
        <v>774</v>
      </c>
      <c r="D234" s="5" t="s">
        <v>946</v>
      </c>
      <c r="E234" s="5" t="s">
        <v>947</v>
      </c>
      <c r="F234" s="5" t="s">
        <v>948</v>
      </c>
      <c r="G234" s="5" t="n">
        <v>9</v>
      </c>
      <c r="H234" s="5" t="s">
        <v>931</v>
      </c>
      <c r="I234" s="5" t="s">
        <v>933</v>
      </c>
    </row>
    <row r="235" customFormat="false" ht="15" hidden="false" customHeight="false" outlineLevel="0" collapsed="false">
      <c r="A235" s="5" t="s">
        <v>1188</v>
      </c>
      <c r="B235" s="5" t="s">
        <v>773</v>
      </c>
      <c r="C235" s="5" t="s">
        <v>774</v>
      </c>
      <c r="D235" s="5" t="s">
        <v>942</v>
      </c>
      <c r="E235" s="5" t="s">
        <v>943</v>
      </c>
      <c r="F235" s="5" t="s">
        <v>944</v>
      </c>
      <c r="G235" s="5" t="n">
        <v>25</v>
      </c>
      <c r="H235" s="5" t="s">
        <v>931</v>
      </c>
      <c r="I235" s="5" t="s">
        <v>919</v>
      </c>
    </row>
    <row r="236" customFormat="false" ht="15" hidden="false" customHeight="false" outlineLevel="0" collapsed="false">
      <c r="A236" s="5" t="s">
        <v>1189</v>
      </c>
      <c r="B236" s="5" t="s">
        <v>779</v>
      </c>
      <c r="C236" s="5" t="s">
        <v>780</v>
      </c>
      <c r="D236" s="5" t="s">
        <v>921</v>
      </c>
      <c r="E236" s="5" t="s">
        <v>922</v>
      </c>
      <c r="F236" s="5" t="s">
        <v>999</v>
      </c>
      <c r="G236" s="5" t="n">
        <v>26</v>
      </c>
      <c r="H236" s="5" t="s">
        <v>931</v>
      </c>
      <c r="I236" s="5" t="s">
        <v>919</v>
      </c>
    </row>
    <row r="237" customFormat="false" ht="15" hidden="false" customHeight="false" outlineLevel="0" collapsed="false">
      <c r="A237" s="5" t="s">
        <v>1190</v>
      </c>
      <c r="B237" s="5" t="s">
        <v>779</v>
      </c>
      <c r="C237" s="5" t="s">
        <v>780</v>
      </c>
      <c r="D237" s="5" t="s">
        <v>915</v>
      </c>
      <c r="E237" s="5" t="s">
        <v>916</v>
      </c>
      <c r="F237" s="5" t="s">
        <v>1001</v>
      </c>
      <c r="G237" s="5" t="n">
        <v>10</v>
      </c>
      <c r="H237" s="5" t="s">
        <v>918</v>
      </c>
      <c r="I237" s="5" t="s">
        <v>919</v>
      </c>
    </row>
    <row r="238" customFormat="false" ht="15" hidden="false" customHeight="false" outlineLevel="0" collapsed="false">
      <c r="A238" s="5" t="s">
        <v>1191</v>
      </c>
      <c r="B238" s="5" t="s">
        <v>784</v>
      </c>
      <c r="C238" s="5" t="s">
        <v>785</v>
      </c>
      <c r="D238" s="5" t="s">
        <v>951</v>
      </c>
      <c r="E238" s="5" t="s">
        <v>952</v>
      </c>
      <c r="F238" s="5" t="s">
        <v>968</v>
      </c>
      <c r="G238" s="5" t="n">
        <v>15</v>
      </c>
      <c r="H238" s="5" t="s">
        <v>924</v>
      </c>
      <c r="I238" s="5" t="s">
        <v>919</v>
      </c>
    </row>
    <row r="239" customFormat="false" ht="15" hidden="false" customHeight="false" outlineLevel="0" collapsed="false">
      <c r="A239" s="5" t="s">
        <v>1192</v>
      </c>
      <c r="B239" s="5" t="s">
        <v>784</v>
      </c>
      <c r="C239" s="5" t="s">
        <v>785</v>
      </c>
      <c r="D239" s="5" t="s">
        <v>921</v>
      </c>
      <c r="E239" s="5" t="s">
        <v>922</v>
      </c>
      <c r="F239" s="5" t="s">
        <v>923</v>
      </c>
      <c r="G239" s="5" t="n">
        <v>9</v>
      </c>
      <c r="H239" s="5" t="s">
        <v>931</v>
      </c>
      <c r="I239" s="5" t="s">
        <v>919</v>
      </c>
    </row>
    <row r="240" customFormat="false" ht="15" hidden="false" customHeight="false" outlineLevel="0" collapsed="false">
      <c r="A240" s="5" t="s">
        <v>1193</v>
      </c>
      <c r="B240" s="5" t="s">
        <v>791</v>
      </c>
      <c r="C240" s="5" t="s">
        <v>792</v>
      </c>
      <c r="D240" s="5" t="s">
        <v>951</v>
      </c>
      <c r="E240" s="5" t="s">
        <v>952</v>
      </c>
      <c r="F240" s="5" t="s">
        <v>960</v>
      </c>
      <c r="G240" s="5" t="n">
        <v>14</v>
      </c>
      <c r="H240" s="5" t="s">
        <v>924</v>
      </c>
      <c r="I240" s="5" t="s">
        <v>933</v>
      </c>
    </row>
    <row r="241" customFormat="false" ht="15" hidden="false" customHeight="false" outlineLevel="0" collapsed="false">
      <c r="A241" s="5" t="s">
        <v>1194</v>
      </c>
      <c r="B241" s="5" t="s">
        <v>791</v>
      </c>
      <c r="C241" s="5" t="s">
        <v>792</v>
      </c>
      <c r="D241" s="5" t="s">
        <v>946</v>
      </c>
      <c r="E241" s="5" t="s">
        <v>947</v>
      </c>
      <c r="F241" s="5" t="s">
        <v>977</v>
      </c>
      <c r="G241" s="5" t="n">
        <v>10</v>
      </c>
      <c r="H241" s="5" t="s">
        <v>931</v>
      </c>
      <c r="I241" s="5" t="s">
        <v>919</v>
      </c>
    </row>
    <row r="242" customFormat="false" ht="15" hidden="false" customHeight="false" outlineLevel="0" collapsed="false">
      <c r="A242" s="5" t="s">
        <v>1195</v>
      </c>
      <c r="B242" s="5" t="s">
        <v>798</v>
      </c>
      <c r="C242" s="5" t="s">
        <v>799</v>
      </c>
      <c r="D242" s="5" t="s">
        <v>942</v>
      </c>
      <c r="E242" s="5" t="s">
        <v>943</v>
      </c>
      <c r="F242" s="5" t="s">
        <v>962</v>
      </c>
      <c r="G242" s="5" t="n">
        <v>4</v>
      </c>
      <c r="H242" s="5" t="s">
        <v>931</v>
      </c>
      <c r="I242" s="5" t="s">
        <v>919</v>
      </c>
    </row>
    <row r="243" customFormat="false" ht="15" hidden="false" customHeight="false" outlineLevel="0" collapsed="false">
      <c r="A243" s="5" t="s">
        <v>1196</v>
      </c>
      <c r="B243" s="5" t="s">
        <v>798</v>
      </c>
      <c r="C243" s="5" t="s">
        <v>799</v>
      </c>
      <c r="D243" s="5" t="s">
        <v>927</v>
      </c>
      <c r="E243" s="5" t="s">
        <v>928</v>
      </c>
      <c r="F243" s="5" t="s">
        <v>929</v>
      </c>
      <c r="G243" s="5" t="n">
        <v>28</v>
      </c>
      <c r="H243" s="5" t="s">
        <v>931</v>
      </c>
      <c r="I243" s="5" t="s">
        <v>919</v>
      </c>
    </row>
    <row r="244" customFormat="false" ht="15" hidden="false" customHeight="false" outlineLevel="0" collapsed="false">
      <c r="A244" s="5" t="s">
        <v>1197</v>
      </c>
      <c r="B244" s="5" t="s">
        <v>805</v>
      </c>
      <c r="C244" s="5" t="s">
        <v>806</v>
      </c>
      <c r="D244" s="5" t="s">
        <v>921</v>
      </c>
      <c r="E244" s="5" t="s">
        <v>922</v>
      </c>
      <c r="F244" s="5" t="s">
        <v>923</v>
      </c>
      <c r="G244" s="5" t="n">
        <v>17</v>
      </c>
      <c r="H244" s="5" t="s">
        <v>931</v>
      </c>
      <c r="I244" s="5" t="s">
        <v>933</v>
      </c>
    </row>
    <row r="245" customFormat="false" ht="15" hidden="false" customHeight="false" outlineLevel="0" collapsed="false">
      <c r="A245" s="5" t="s">
        <v>1198</v>
      </c>
      <c r="B245" s="5" t="s">
        <v>805</v>
      </c>
      <c r="C245" s="5" t="s">
        <v>806</v>
      </c>
      <c r="D245" s="5" t="s">
        <v>951</v>
      </c>
      <c r="E245" s="5" t="s">
        <v>952</v>
      </c>
      <c r="F245" s="5" t="s">
        <v>972</v>
      </c>
      <c r="G245" s="5" t="n">
        <v>17</v>
      </c>
      <c r="H245" s="5" t="s">
        <v>931</v>
      </c>
      <c r="I245" s="5" t="s">
        <v>919</v>
      </c>
    </row>
    <row r="246" customFormat="false" ht="15" hidden="false" customHeight="false" outlineLevel="0" collapsed="false">
      <c r="A246" s="5" t="s">
        <v>1199</v>
      </c>
      <c r="B246" s="5" t="s">
        <v>811</v>
      </c>
      <c r="C246" s="5" t="s">
        <v>812</v>
      </c>
      <c r="D246" s="5" t="s">
        <v>927</v>
      </c>
      <c r="E246" s="5" t="s">
        <v>928</v>
      </c>
      <c r="F246" s="5" t="s">
        <v>937</v>
      </c>
      <c r="G246" s="5" t="n">
        <v>31</v>
      </c>
      <c r="H246" s="5" t="s">
        <v>918</v>
      </c>
      <c r="I246" s="5" t="s">
        <v>919</v>
      </c>
    </row>
    <row r="247" customFormat="false" ht="15" hidden="false" customHeight="false" outlineLevel="0" collapsed="false">
      <c r="A247" s="5" t="s">
        <v>1200</v>
      </c>
      <c r="B247" s="5" t="s">
        <v>811</v>
      </c>
      <c r="C247" s="5" t="s">
        <v>812</v>
      </c>
      <c r="D247" s="5" t="s">
        <v>915</v>
      </c>
      <c r="E247" s="5" t="s">
        <v>916</v>
      </c>
      <c r="F247" s="5" t="s">
        <v>917</v>
      </c>
      <c r="G247" s="5" t="n">
        <v>5</v>
      </c>
      <c r="H247" s="5" t="s">
        <v>931</v>
      </c>
      <c r="I247" s="5" t="s">
        <v>919</v>
      </c>
    </row>
    <row r="248" customFormat="false" ht="15" hidden="false" customHeight="false" outlineLevel="0" collapsed="false">
      <c r="A248" s="5" t="s">
        <v>1201</v>
      </c>
      <c r="B248" s="5" t="s">
        <v>817</v>
      </c>
      <c r="C248" s="5" t="s">
        <v>818</v>
      </c>
      <c r="D248" s="5" t="s">
        <v>915</v>
      </c>
      <c r="E248" s="5" t="s">
        <v>916</v>
      </c>
      <c r="F248" s="5" t="s">
        <v>1001</v>
      </c>
      <c r="G248" s="5" t="n">
        <v>13</v>
      </c>
      <c r="H248" s="5" t="s">
        <v>931</v>
      </c>
      <c r="I248" s="5" t="s">
        <v>919</v>
      </c>
    </row>
    <row r="249" customFormat="false" ht="15" hidden="false" customHeight="false" outlineLevel="0" collapsed="false">
      <c r="A249" s="5" t="s">
        <v>1202</v>
      </c>
      <c r="B249" s="5" t="s">
        <v>817</v>
      </c>
      <c r="C249" s="5" t="s">
        <v>818</v>
      </c>
      <c r="D249" s="5" t="s">
        <v>951</v>
      </c>
      <c r="E249" s="5" t="s">
        <v>952</v>
      </c>
      <c r="F249" s="5" t="s">
        <v>953</v>
      </c>
      <c r="G249" s="5" t="n">
        <v>13</v>
      </c>
      <c r="H249" s="5" t="s">
        <v>918</v>
      </c>
      <c r="I249" s="5" t="s">
        <v>919</v>
      </c>
    </row>
    <row r="250" customFormat="false" ht="15" hidden="false" customHeight="false" outlineLevel="0" collapsed="false">
      <c r="A250" s="5" t="s">
        <v>1203</v>
      </c>
      <c r="B250" s="5" t="s">
        <v>824</v>
      </c>
      <c r="C250" s="5" t="s">
        <v>825</v>
      </c>
      <c r="D250" s="5" t="s">
        <v>951</v>
      </c>
      <c r="E250" s="5" t="s">
        <v>952</v>
      </c>
      <c r="F250" s="5" t="s">
        <v>972</v>
      </c>
      <c r="G250" s="5" t="n">
        <v>24</v>
      </c>
      <c r="H250" s="5" t="s">
        <v>931</v>
      </c>
      <c r="I250" s="5" t="s">
        <v>919</v>
      </c>
    </row>
    <row r="251" customFormat="false" ht="15" hidden="false" customHeight="false" outlineLevel="0" collapsed="false">
      <c r="A251" s="5" t="s">
        <v>1204</v>
      </c>
      <c r="B251" s="5" t="s">
        <v>831</v>
      </c>
      <c r="C251" s="5" t="s">
        <v>832</v>
      </c>
      <c r="D251" s="5" t="s">
        <v>951</v>
      </c>
      <c r="E251" s="5" t="s">
        <v>952</v>
      </c>
      <c r="F251" s="5" t="s">
        <v>953</v>
      </c>
      <c r="G251" s="5" t="n">
        <v>7</v>
      </c>
      <c r="H251" s="5" t="s">
        <v>918</v>
      </c>
      <c r="I251" s="5" t="s">
        <v>919</v>
      </c>
    </row>
    <row r="252" customFormat="false" ht="15" hidden="false" customHeight="false" outlineLevel="0" collapsed="false">
      <c r="A252" s="5" t="s">
        <v>1205</v>
      </c>
      <c r="B252" s="5" t="s">
        <v>831</v>
      </c>
      <c r="C252" s="5" t="s">
        <v>832</v>
      </c>
      <c r="D252" s="5" t="s">
        <v>927</v>
      </c>
      <c r="E252" s="5" t="s">
        <v>928</v>
      </c>
      <c r="F252" s="5" t="s">
        <v>937</v>
      </c>
      <c r="G252" s="5" t="n">
        <v>23</v>
      </c>
      <c r="H252" s="5" t="s">
        <v>931</v>
      </c>
      <c r="I252" s="5" t="s">
        <v>933</v>
      </c>
    </row>
    <row r="253" customFormat="false" ht="15" hidden="false" customHeight="false" outlineLevel="0" collapsed="false">
      <c r="A253" s="5" t="s">
        <v>1206</v>
      </c>
      <c r="B253" s="5" t="s">
        <v>837</v>
      </c>
      <c r="C253" s="5" t="s">
        <v>838</v>
      </c>
      <c r="D253" s="5" t="s">
        <v>915</v>
      </c>
      <c r="E253" s="5" t="s">
        <v>916</v>
      </c>
      <c r="F253" s="5" t="s">
        <v>940</v>
      </c>
      <c r="G253" s="5" t="n">
        <v>10</v>
      </c>
      <c r="H253" s="5" t="s">
        <v>924</v>
      </c>
      <c r="I253" s="5" t="s">
        <v>919</v>
      </c>
    </row>
    <row r="254" customFormat="false" ht="15" hidden="false" customHeight="false" outlineLevel="0" collapsed="false">
      <c r="A254" s="5" t="s">
        <v>1207</v>
      </c>
      <c r="B254" s="5" t="s">
        <v>837</v>
      </c>
      <c r="C254" s="5" t="s">
        <v>838</v>
      </c>
      <c r="D254" s="5" t="s">
        <v>927</v>
      </c>
      <c r="E254" s="5" t="s">
        <v>928</v>
      </c>
      <c r="F254" s="5" t="s">
        <v>986</v>
      </c>
      <c r="G254" s="5" t="n">
        <v>16</v>
      </c>
      <c r="H254" s="5" t="s">
        <v>931</v>
      </c>
      <c r="I254" s="5" t="s">
        <v>933</v>
      </c>
    </row>
    <row r="255" customFormat="false" ht="15" hidden="false" customHeight="false" outlineLevel="0" collapsed="false">
      <c r="A255" s="5" t="s">
        <v>1208</v>
      </c>
      <c r="B255" s="5" t="s">
        <v>842</v>
      </c>
      <c r="C255" s="5" t="s">
        <v>843</v>
      </c>
      <c r="D255" s="5" t="s">
        <v>915</v>
      </c>
      <c r="E255" s="5" t="s">
        <v>916</v>
      </c>
      <c r="F255" s="5" t="s">
        <v>1001</v>
      </c>
      <c r="G255" s="5" t="n">
        <v>16</v>
      </c>
      <c r="H255" s="5" t="s">
        <v>931</v>
      </c>
      <c r="I255" s="5" t="s">
        <v>933</v>
      </c>
    </row>
    <row r="256" customFormat="false" ht="15" hidden="false" customHeight="false" outlineLevel="0" collapsed="false">
      <c r="A256" s="5" t="s">
        <v>1209</v>
      </c>
      <c r="B256" s="5" t="s">
        <v>842</v>
      </c>
      <c r="C256" s="5" t="s">
        <v>843</v>
      </c>
      <c r="D256" s="5" t="s">
        <v>927</v>
      </c>
      <c r="E256" s="5" t="s">
        <v>928</v>
      </c>
      <c r="F256" s="5" t="s">
        <v>958</v>
      </c>
      <c r="G256" s="5" t="n">
        <v>10</v>
      </c>
      <c r="H256" s="5" t="s">
        <v>931</v>
      </c>
      <c r="I256" s="5" t="s">
        <v>933</v>
      </c>
    </row>
    <row r="257" customFormat="false" ht="15" hidden="false" customHeight="false" outlineLevel="0" collapsed="false">
      <c r="A257" s="5" t="s">
        <v>1210</v>
      </c>
      <c r="B257" s="5" t="s">
        <v>849</v>
      </c>
      <c r="C257" s="5" t="s">
        <v>850</v>
      </c>
      <c r="D257" s="5" t="s">
        <v>951</v>
      </c>
      <c r="E257" s="5" t="s">
        <v>952</v>
      </c>
      <c r="F257" s="5" t="s">
        <v>968</v>
      </c>
      <c r="G257" s="5" t="n">
        <v>4</v>
      </c>
      <c r="H257" s="5" t="s">
        <v>931</v>
      </c>
      <c r="I257" s="5" t="s">
        <v>933</v>
      </c>
    </row>
    <row r="258" customFormat="false" ht="15" hidden="false" customHeight="false" outlineLevel="0" collapsed="false">
      <c r="A258" s="5" t="s">
        <v>1211</v>
      </c>
      <c r="B258" s="5" t="s">
        <v>849</v>
      </c>
      <c r="C258" s="5" t="s">
        <v>850</v>
      </c>
      <c r="D258" s="5" t="s">
        <v>946</v>
      </c>
      <c r="E258" s="5" t="s">
        <v>947</v>
      </c>
      <c r="F258" s="5" t="s">
        <v>977</v>
      </c>
      <c r="G258" s="5" t="n">
        <v>11</v>
      </c>
      <c r="H258" s="5" t="s">
        <v>918</v>
      </c>
      <c r="I258" s="5" t="s">
        <v>919</v>
      </c>
    </row>
    <row r="259" customFormat="false" ht="15" hidden="false" customHeight="false" outlineLevel="0" collapsed="false">
      <c r="A259" s="5" t="s">
        <v>1212</v>
      </c>
      <c r="B259" s="5" t="s">
        <v>849</v>
      </c>
      <c r="C259" s="5" t="s">
        <v>850</v>
      </c>
      <c r="D259" s="5" t="s">
        <v>921</v>
      </c>
      <c r="E259" s="5" t="s">
        <v>922</v>
      </c>
      <c r="F259" s="5" t="s">
        <v>999</v>
      </c>
      <c r="G259" s="5" t="n">
        <v>13</v>
      </c>
      <c r="H259" s="5" t="s">
        <v>931</v>
      </c>
      <c r="I259" s="5" t="s">
        <v>919</v>
      </c>
    </row>
    <row r="260" customFormat="false" ht="15" hidden="false" customHeight="false" outlineLevel="0" collapsed="false">
      <c r="A260" s="5" t="s">
        <v>1213</v>
      </c>
      <c r="B260" s="5" t="s">
        <v>855</v>
      </c>
      <c r="C260" s="5" t="s">
        <v>856</v>
      </c>
      <c r="D260" s="5" t="s">
        <v>927</v>
      </c>
      <c r="E260" s="5" t="s">
        <v>928</v>
      </c>
      <c r="F260" s="5" t="s">
        <v>929</v>
      </c>
      <c r="G260" s="5" t="n">
        <v>18</v>
      </c>
      <c r="H260" s="5" t="s">
        <v>924</v>
      </c>
      <c r="I260" s="5" t="s">
        <v>919</v>
      </c>
    </row>
    <row r="261" customFormat="false" ht="15" hidden="false" customHeight="false" outlineLevel="0" collapsed="false">
      <c r="A261" s="5" t="s">
        <v>1214</v>
      </c>
      <c r="B261" s="5" t="s">
        <v>855</v>
      </c>
      <c r="C261" s="5" t="s">
        <v>856</v>
      </c>
      <c r="D261" s="5" t="s">
        <v>915</v>
      </c>
      <c r="E261" s="5" t="s">
        <v>916</v>
      </c>
      <c r="F261" s="5" t="s">
        <v>917</v>
      </c>
      <c r="G261" s="5" t="n">
        <v>14</v>
      </c>
      <c r="H261" s="5" t="s">
        <v>918</v>
      </c>
      <c r="I261" s="5" t="s">
        <v>919</v>
      </c>
    </row>
    <row r="262" customFormat="false" ht="15" hidden="false" customHeight="false" outlineLevel="0" collapsed="false">
      <c r="A262" s="5" t="s">
        <v>1215</v>
      </c>
      <c r="B262" s="5" t="s">
        <v>862</v>
      </c>
      <c r="C262" s="5" t="s">
        <v>863</v>
      </c>
      <c r="D262" s="5" t="s">
        <v>927</v>
      </c>
      <c r="E262" s="5" t="s">
        <v>928</v>
      </c>
      <c r="F262" s="5" t="s">
        <v>958</v>
      </c>
      <c r="G262" s="5" t="n">
        <v>12</v>
      </c>
      <c r="H262" s="5" t="s">
        <v>918</v>
      </c>
      <c r="I262" s="5" t="s">
        <v>919</v>
      </c>
    </row>
    <row r="263" customFormat="false" ht="15" hidden="false" customHeight="false" outlineLevel="0" collapsed="false">
      <c r="A263" s="5" t="s">
        <v>1216</v>
      </c>
      <c r="B263" s="5" t="s">
        <v>862</v>
      </c>
      <c r="C263" s="5" t="s">
        <v>863</v>
      </c>
      <c r="D263" s="5" t="s">
        <v>915</v>
      </c>
      <c r="E263" s="5" t="s">
        <v>916</v>
      </c>
      <c r="F263" s="5" t="s">
        <v>940</v>
      </c>
      <c r="G263" s="5" t="n">
        <v>16</v>
      </c>
      <c r="H263" s="5" t="s">
        <v>918</v>
      </c>
      <c r="I263" s="5" t="s">
        <v>919</v>
      </c>
    </row>
    <row r="264" customFormat="false" ht="15" hidden="false" customHeight="false" outlineLevel="0" collapsed="false">
      <c r="A264" s="5" t="s">
        <v>1217</v>
      </c>
      <c r="B264" s="5" t="s">
        <v>868</v>
      </c>
      <c r="C264" s="5" t="s">
        <v>148</v>
      </c>
      <c r="D264" s="5" t="s">
        <v>951</v>
      </c>
      <c r="E264" s="5" t="s">
        <v>952</v>
      </c>
      <c r="F264" s="5" t="s">
        <v>972</v>
      </c>
      <c r="G264" s="5" t="n">
        <v>9</v>
      </c>
      <c r="H264" s="5" t="s">
        <v>931</v>
      </c>
      <c r="I264" s="5" t="s">
        <v>919</v>
      </c>
    </row>
    <row r="265" customFormat="false" ht="15" hidden="false" customHeight="false" outlineLevel="0" collapsed="false">
      <c r="A265" s="5" t="s">
        <v>1218</v>
      </c>
      <c r="B265" s="5" t="s">
        <v>868</v>
      </c>
      <c r="C265" s="5" t="s">
        <v>148</v>
      </c>
      <c r="D265" s="5" t="s">
        <v>946</v>
      </c>
      <c r="E265" s="5" t="s">
        <v>947</v>
      </c>
      <c r="F265" s="5" t="s">
        <v>948</v>
      </c>
      <c r="G265" s="5" t="n">
        <v>13</v>
      </c>
      <c r="H265" s="5" t="s">
        <v>918</v>
      </c>
      <c r="I265" s="5" t="s">
        <v>919</v>
      </c>
    </row>
    <row r="266" customFormat="false" ht="15" hidden="false" customHeight="false" outlineLevel="0" collapsed="false">
      <c r="A266" s="5" t="s">
        <v>1219</v>
      </c>
      <c r="B266" s="5" t="s">
        <v>868</v>
      </c>
      <c r="C266" s="5" t="s">
        <v>148</v>
      </c>
      <c r="D266" s="5" t="s">
        <v>921</v>
      </c>
      <c r="E266" s="5" t="s">
        <v>922</v>
      </c>
      <c r="F266" s="5" t="s">
        <v>923</v>
      </c>
      <c r="G266" s="5" t="n">
        <v>4</v>
      </c>
      <c r="H266" s="5" t="s">
        <v>918</v>
      </c>
      <c r="I266" s="5" t="s">
        <v>919</v>
      </c>
    </row>
    <row r="267" customFormat="false" ht="15" hidden="false" customHeight="false" outlineLevel="0" collapsed="false">
      <c r="A267" s="5" t="s">
        <v>1220</v>
      </c>
      <c r="B267" s="5" t="s">
        <v>875</v>
      </c>
      <c r="C267" s="5" t="s">
        <v>876</v>
      </c>
      <c r="D267" s="5" t="s">
        <v>915</v>
      </c>
      <c r="E267" s="5" t="s">
        <v>916</v>
      </c>
      <c r="F267" s="5" t="s">
        <v>935</v>
      </c>
      <c r="G267" s="5" t="n">
        <v>7</v>
      </c>
      <c r="H267" s="5" t="s">
        <v>924</v>
      </c>
      <c r="I267" s="5" t="s">
        <v>933</v>
      </c>
    </row>
    <row r="268" customFormat="false" ht="15" hidden="false" customHeight="false" outlineLevel="0" collapsed="false">
      <c r="A268" s="5" t="s">
        <v>1221</v>
      </c>
      <c r="B268" s="5" t="s">
        <v>875</v>
      </c>
      <c r="C268" s="5" t="s">
        <v>876</v>
      </c>
      <c r="D268" s="5" t="s">
        <v>951</v>
      </c>
      <c r="E268" s="5" t="s">
        <v>952</v>
      </c>
      <c r="F268" s="5" t="s">
        <v>953</v>
      </c>
      <c r="G268" s="5" t="n">
        <v>7</v>
      </c>
      <c r="H268" s="5" t="s">
        <v>931</v>
      </c>
      <c r="I268" s="5" t="s">
        <v>919</v>
      </c>
    </row>
    <row r="269" customFormat="false" ht="15" hidden="false" customHeight="false" outlineLevel="0" collapsed="false">
      <c r="A269" s="5" t="s">
        <v>1222</v>
      </c>
      <c r="B269" s="5" t="s">
        <v>875</v>
      </c>
      <c r="C269" s="5" t="s">
        <v>876</v>
      </c>
      <c r="D269" s="5" t="s">
        <v>921</v>
      </c>
      <c r="E269" s="5" t="s">
        <v>922</v>
      </c>
      <c r="F269" s="5" t="s">
        <v>970</v>
      </c>
      <c r="G269" s="5" t="n">
        <v>14</v>
      </c>
      <c r="H269" s="5" t="s">
        <v>931</v>
      </c>
      <c r="I269" s="5" t="s">
        <v>933</v>
      </c>
    </row>
    <row r="270" customFormat="false" ht="15" hidden="false" customHeight="false" outlineLevel="0" collapsed="false">
      <c r="A270" s="5" t="s">
        <v>1223</v>
      </c>
      <c r="B270" s="5" t="s">
        <v>879</v>
      </c>
      <c r="C270" s="5" t="s">
        <v>880</v>
      </c>
      <c r="D270" s="5" t="s">
        <v>927</v>
      </c>
      <c r="E270" s="5" t="s">
        <v>928</v>
      </c>
      <c r="F270" s="5" t="s">
        <v>958</v>
      </c>
      <c r="G270" s="5" t="n">
        <v>4</v>
      </c>
      <c r="H270" s="5" t="s">
        <v>924</v>
      </c>
      <c r="I270" s="5" t="s">
        <v>919</v>
      </c>
    </row>
    <row r="271" customFormat="false" ht="15" hidden="false" customHeight="false" outlineLevel="0" collapsed="false">
      <c r="A271" s="5" t="s">
        <v>1224</v>
      </c>
      <c r="B271" s="5" t="s">
        <v>879</v>
      </c>
      <c r="C271" s="5" t="s">
        <v>880</v>
      </c>
      <c r="D271" s="5" t="s">
        <v>915</v>
      </c>
      <c r="E271" s="5" t="s">
        <v>916</v>
      </c>
      <c r="F271" s="5" t="s">
        <v>1001</v>
      </c>
      <c r="G271" s="5" t="n">
        <v>35</v>
      </c>
      <c r="H271" s="5" t="s">
        <v>931</v>
      </c>
      <c r="I271" s="5" t="s">
        <v>919</v>
      </c>
    </row>
    <row r="272" customFormat="false" ht="15" hidden="false" customHeight="false" outlineLevel="0" collapsed="false">
      <c r="A272" s="5" t="s">
        <v>1225</v>
      </c>
      <c r="B272" s="5" t="s">
        <v>879</v>
      </c>
      <c r="C272" s="5" t="s">
        <v>880</v>
      </c>
      <c r="D272" s="5" t="s">
        <v>951</v>
      </c>
      <c r="E272" s="5" t="s">
        <v>952</v>
      </c>
      <c r="F272" s="5" t="s">
        <v>960</v>
      </c>
      <c r="G272" s="5" t="n">
        <v>9</v>
      </c>
      <c r="H272" s="5" t="s">
        <v>931</v>
      </c>
      <c r="I272" s="5" t="s">
        <v>919</v>
      </c>
    </row>
    <row r="273" customFormat="false" ht="15" hidden="false" customHeight="false" outlineLevel="0" collapsed="false">
      <c r="A273" s="5" t="s">
        <v>1226</v>
      </c>
      <c r="B273" s="5" t="s">
        <v>885</v>
      </c>
      <c r="C273" s="5" t="s">
        <v>886</v>
      </c>
      <c r="D273" s="5" t="s">
        <v>921</v>
      </c>
      <c r="E273" s="5" t="s">
        <v>922</v>
      </c>
      <c r="F273" s="5" t="s">
        <v>923</v>
      </c>
      <c r="G273" s="5" t="n">
        <v>4</v>
      </c>
      <c r="H273" s="5" t="s">
        <v>931</v>
      </c>
      <c r="I273" s="5" t="s">
        <v>919</v>
      </c>
    </row>
    <row r="274" customFormat="false" ht="15" hidden="false" customHeight="false" outlineLevel="0" collapsed="false">
      <c r="A274" s="5" t="s">
        <v>1227</v>
      </c>
      <c r="B274" s="5" t="s">
        <v>885</v>
      </c>
      <c r="C274" s="5" t="s">
        <v>886</v>
      </c>
      <c r="D274" s="5" t="s">
        <v>951</v>
      </c>
      <c r="E274" s="5" t="s">
        <v>952</v>
      </c>
      <c r="F274" s="5" t="s">
        <v>953</v>
      </c>
      <c r="G274" s="5" t="n">
        <v>22</v>
      </c>
      <c r="H274" s="5" t="s">
        <v>924</v>
      </c>
      <c r="I274" s="5" t="s">
        <v>919</v>
      </c>
    </row>
  </sheetData>
  <autoFilter ref="A1:I2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4" t="s">
        <v>908</v>
      </c>
      <c r="B1" s="4" t="s">
        <v>909</v>
      </c>
      <c r="C1" s="4" t="s">
        <v>1228</v>
      </c>
      <c r="D1" s="4" t="s">
        <v>1229</v>
      </c>
      <c r="E1" s="4" t="s">
        <v>1230</v>
      </c>
      <c r="F1" s="4" t="s">
        <v>1231</v>
      </c>
      <c r="G1" s="4" t="s">
        <v>1232</v>
      </c>
      <c r="H1" s="4" t="s">
        <v>912</v>
      </c>
      <c r="I1" s="4" t="s">
        <v>1233</v>
      </c>
      <c r="J1" s="4" t="s">
        <v>1234</v>
      </c>
    </row>
    <row r="2" customFormat="false" ht="15" hidden="false" customHeight="false" outlineLevel="0" collapsed="false">
      <c r="A2" s="5" t="s">
        <v>951</v>
      </c>
      <c r="B2" s="5" t="s">
        <v>952</v>
      </c>
      <c r="C2" s="5" t="s">
        <v>1235</v>
      </c>
      <c r="D2" s="5" t="s">
        <v>1236</v>
      </c>
      <c r="E2" s="5" t="s">
        <v>1237</v>
      </c>
      <c r="F2" s="7" t="n">
        <v>46237</v>
      </c>
      <c r="G2" s="7" t="n">
        <v>46374</v>
      </c>
      <c r="H2" s="5" t="s">
        <v>924</v>
      </c>
      <c r="I2" s="5" t="n">
        <f aca="false">COUNTIFS(Allocations!$D$2:$D$274,A2)</f>
        <v>60</v>
      </c>
      <c r="J2" s="5" t="n">
        <f aca="false">SUMIFS(Allocations!$G$2:$G$274,Allocations!$D$2:$D$274,A2)</f>
        <v>741</v>
      </c>
    </row>
    <row r="3" customFormat="false" ht="15" hidden="false" customHeight="false" outlineLevel="0" collapsed="false">
      <c r="A3" s="5" t="s">
        <v>915</v>
      </c>
      <c r="B3" s="5" t="s">
        <v>916</v>
      </c>
      <c r="C3" s="5" t="s">
        <v>1238</v>
      </c>
      <c r="D3" s="5" t="s">
        <v>1239</v>
      </c>
      <c r="E3" s="5" t="s">
        <v>1237</v>
      </c>
      <c r="F3" s="7" t="n">
        <v>46216</v>
      </c>
      <c r="G3" s="7" t="n">
        <v>46353</v>
      </c>
      <c r="H3" s="5" t="s">
        <v>931</v>
      </c>
      <c r="I3" s="5" t="n">
        <f aca="false">COUNTIFS(Allocations!$D$2:$D$274,A3)</f>
        <v>64</v>
      </c>
      <c r="J3" s="5" t="n">
        <f aca="false">SUMIFS(Allocations!$G$2:$G$274,Allocations!$D$2:$D$274,A3)</f>
        <v>764</v>
      </c>
    </row>
    <row r="4" customFormat="false" ht="15" hidden="false" customHeight="false" outlineLevel="0" collapsed="false">
      <c r="A4" s="5" t="s">
        <v>946</v>
      </c>
      <c r="B4" s="5" t="s">
        <v>947</v>
      </c>
      <c r="C4" s="5" t="s">
        <v>1240</v>
      </c>
      <c r="D4" s="5" t="s">
        <v>1241</v>
      </c>
      <c r="E4" s="5" t="s">
        <v>1237</v>
      </c>
      <c r="F4" s="7" t="n">
        <v>46266</v>
      </c>
      <c r="G4" s="7" t="n">
        <v>46402</v>
      </c>
      <c r="H4" s="5" t="s">
        <v>924</v>
      </c>
      <c r="I4" s="5" t="n">
        <f aca="false">COUNTIFS(Allocations!$D$2:$D$274,A4)</f>
        <v>32</v>
      </c>
      <c r="J4" s="5" t="n">
        <f aca="false">SUMIFS(Allocations!$G$2:$G$274,Allocations!$D$2:$D$274,A4)</f>
        <v>374</v>
      </c>
    </row>
    <row r="5" customFormat="false" ht="15" hidden="false" customHeight="false" outlineLevel="0" collapsed="false">
      <c r="A5" s="5" t="s">
        <v>927</v>
      </c>
      <c r="B5" s="5" t="s">
        <v>928</v>
      </c>
      <c r="C5" s="5" t="s">
        <v>1242</v>
      </c>
      <c r="D5" s="5" t="s">
        <v>1243</v>
      </c>
      <c r="E5" s="5" t="s">
        <v>1237</v>
      </c>
      <c r="F5" s="7" t="n">
        <v>46258</v>
      </c>
      <c r="G5" s="7" t="n">
        <v>46367</v>
      </c>
      <c r="H5" s="5" t="s">
        <v>931</v>
      </c>
      <c r="I5" s="5" t="n">
        <f aca="false">COUNTIFS(Allocations!$D$2:$D$274,A5)</f>
        <v>62</v>
      </c>
      <c r="J5" s="5" t="n">
        <f aca="false">SUMIFS(Allocations!$G$2:$G$274,Allocations!$D$2:$D$274,A5)</f>
        <v>931</v>
      </c>
    </row>
    <row r="6" customFormat="false" ht="15" hidden="false" customHeight="false" outlineLevel="0" collapsed="false">
      <c r="A6" s="5" t="s">
        <v>921</v>
      </c>
      <c r="B6" s="5" t="s">
        <v>922</v>
      </c>
      <c r="C6" s="5" t="s">
        <v>1244</v>
      </c>
      <c r="D6" s="5" t="s">
        <v>1245</v>
      </c>
      <c r="E6" s="5" t="s">
        <v>1237</v>
      </c>
      <c r="F6" s="7" t="n">
        <v>46279</v>
      </c>
      <c r="G6" s="7" t="n">
        <v>46346</v>
      </c>
      <c r="H6" s="5" t="s">
        <v>931</v>
      </c>
      <c r="I6" s="5" t="n">
        <f aca="false">COUNTIFS(Allocations!$D$2:$D$274,A6)</f>
        <v>32</v>
      </c>
      <c r="J6" s="5" t="n">
        <f aca="false">SUMIFS(Allocations!$G$2:$G$274,Allocations!$D$2:$D$274,A6)</f>
        <v>457</v>
      </c>
    </row>
    <row r="7" customFormat="false" ht="15" hidden="false" customHeight="false" outlineLevel="0" collapsed="false">
      <c r="A7" s="5" t="s">
        <v>942</v>
      </c>
      <c r="B7" s="5" t="s">
        <v>943</v>
      </c>
      <c r="C7" s="5" t="s">
        <v>1246</v>
      </c>
      <c r="D7" s="5" t="s">
        <v>1247</v>
      </c>
      <c r="E7" s="5" t="s">
        <v>1237</v>
      </c>
      <c r="F7" s="7" t="n">
        <v>46195</v>
      </c>
      <c r="G7" s="7" t="n">
        <v>46416</v>
      </c>
      <c r="H7" s="5" t="s">
        <v>924</v>
      </c>
      <c r="I7" s="5" t="n">
        <f aca="false">COUNTIFS(Allocations!$D$2:$D$274,A7)</f>
        <v>23</v>
      </c>
      <c r="J7" s="5" t="n">
        <f aca="false">SUMIFS(Allocations!$G$2:$G$274,Allocations!$D$2:$D$274,A7)</f>
        <v>312</v>
      </c>
    </row>
    <row r="8" customFormat="false" ht="15" hidden="false" customHeight="false" outlineLevel="0" collapsed="false">
      <c r="A8" s="5" t="s">
        <v>1248</v>
      </c>
      <c r="B8" s="5" t="s">
        <v>1249</v>
      </c>
      <c r="C8" s="5" t="s">
        <v>1250</v>
      </c>
      <c r="D8" s="5" t="s">
        <v>1251</v>
      </c>
      <c r="E8" s="5" t="s">
        <v>1252</v>
      </c>
      <c r="F8" s="7" t="n">
        <v>46328</v>
      </c>
      <c r="G8" s="7" t="n">
        <v>46444</v>
      </c>
      <c r="H8" s="5" t="s">
        <v>924</v>
      </c>
      <c r="I8" s="5" t="n">
        <f aca="false">COUNTIFS(Allocations!$D$2:$D$274,A8)</f>
        <v>0</v>
      </c>
      <c r="J8" s="5" t="n">
        <f aca="false">SUMIFS(Allocations!$G$2:$G$274,Allocations!$D$2:$D$274,A8)</f>
        <v>0</v>
      </c>
    </row>
  </sheetData>
  <autoFilter ref="A1:J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6" min="5" style="0" width="10"/>
  </cols>
  <sheetData>
    <row r="1" customFormat="false" ht="33.75" hidden="false" customHeight="true" outlineLevel="0" collapsed="false">
      <c r="A1" s="4" t="s">
        <v>908</v>
      </c>
      <c r="B1" s="4" t="s">
        <v>909</v>
      </c>
      <c r="C1" s="4" t="s">
        <v>1253</v>
      </c>
      <c r="D1" s="4" t="s">
        <v>1254</v>
      </c>
      <c r="E1" s="4" t="s">
        <v>1255</v>
      </c>
      <c r="F1" s="4" t="s">
        <v>1256</v>
      </c>
    </row>
    <row r="2" customFormat="false" ht="15" hidden="false" customHeight="false" outlineLevel="0" collapsed="false">
      <c r="A2" s="5" t="s">
        <v>951</v>
      </c>
      <c r="B2" s="5" t="s">
        <v>952</v>
      </c>
      <c r="C2" s="5" t="s">
        <v>1257</v>
      </c>
      <c r="D2" s="5" t="s">
        <v>890</v>
      </c>
      <c r="E2" s="5" t="n">
        <v>4</v>
      </c>
      <c r="F2" s="9" t="n">
        <v>0.3</v>
      </c>
    </row>
    <row r="3" customFormat="false" ht="15" hidden="false" customHeight="false" outlineLevel="0" collapsed="false">
      <c r="A3" s="5" t="s">
        <v>951</v>
      </c>
      <c r="B3" s="5" t="s">
        <v>952</v>
      </c>
      <c r="C3" s="5" t="s">
        <v>1258</v>
      </c>
      <c r="D3" s="5" t="s">
        <v>900</v>
      </c>
      <c r="E3" s="5" t="n">
        <v>4</v>
      </c>
      <c r="F3" s="9" t="n">
        <v>0.3</v>
      </c>
    </row>
    <row r="4" customFormat="false" ht="15" hidden="false" customHeight="false" outlineLevel="0" collapsed="false">
      <c r="A4" s="5" t="s">
        <v>951</v>
      </c>
      <c r="B4" s="5" t="s">
        <v>952</v>
      </c>
      <c r="C4" s="5" t="s">
        <v>1259</v>
      </c>
      <c r="D4" s="5" t="s">
        <v>894</v>
      </c>
      <c r="E4" s="5" t="n">
        <v>3</v>
      </c>
      <c r="F4" s="9" t="n">
        <v>0.2</v>
      </c>
    </row>
    <row r="5" customFormat="false" ht="15" hidden="false" customHeight="false" outlineLevel="0" collapsed="false">
      <c r="A5" s="5" t="s">
        <v>951</v>
      </c>
      <c r="B5" s="5" t="s">
        <v>952</v>
      </c>
      <c r="C5" s="5" t="s">
        <v>1260</v>
      </c>
      <c r="D5" s="5" t="s">
        <v>895</v>
      </c>
      <c r="E5" s="5" t="n">
        <v>3</v>
      </c>
      <c r="F5" s="9" t="n">
        <v>0.2</v>
      </c>
    </row>
    <row r="6" customFormat="false" ht="15" hidden="false" customHeight="false" outlineLevel="0" collapsed="false">
      <c r="A6" s="5" t="s">
        <v>915</v>
      </c>
      <c r="B6" s="5" t="s">
        <v>916</v>
      </c>
      <c r="C6" s="5" t="s">
        <v>1261</v>
      </c>
      <c r="D6" s="5" t="s">
        <v>892</v>
      </c>
      <c r="E6" s="5" t="n">
        <v>4</v>
      </c>
      <c r="F6" s="9" t="n">
        <v>0.27</v>
      </c>
    </row>
    <row r="7" customFormat="false" ht="15" hidden="false" customHeight="false" outlineLevel="0" collapsed="false">
      <c r="A7" s="5" t="s">
        <v>915</v>
      </c>
      <c r="B7" s="5" t="s">
        <v>916</v>
      </c>
      <c r="C7" s="5" t="s">
        <v>1262</v>
      </c>
      <c r="D7" s="5" t="s">
        <v>893</v>
      </c>
      <c r="E7" s="5" t="n">
        <v>4</v>
      </c>
      <c r="F7" s="9" t="n">
        <v>0.27</v>
      </c>
    </row>
    <row r="8" customFormat="false" ht="15" hidden="false" customHeight="false" outlineLevel="0" collapsed="false">
      <c r="A8" s="5" t="s">
        <v>915</v>
      </c>
      <c r="B8" s="5" t="s">
        <v>916</v>
      </c>
      <c r="C8" s="5" t="s">
        <v>1259</v>
      </c>
      <c r="D8" s="5" t="s">
        <v>894</v>
      </c>
      <c r="E8" s="5" t="n">
        <v>3</v>
      </c>
      <c r="F8" s="9" t="n">
        <v>0.18</v>
      </c>
    </row>
    <row r="9" customFormat="false" ht="15" hidden="false" customHeight="false" outlineLevel="0" collapsed="false">
      <c r="A9" s="5" t="s">
        <v>915</v>
      </c>
      <c r="B9" s="5" t="s">
        <v>916</v>
      </c>
      <c r="C9" s="5" t="s">
        <v>1263</v>
      </c>
      <c r="D9" s="5" t="s">
        <v>902</v>
      </c>
      <c r="E9" s="5" t="n">
        <v>3</v>
      </c>
      <c r="F9" s="9" t="n">
        <v>0.18</v>
      </c>
    </row>
    <row r="10" customFormat="false" ht="15" hidden="false" customHeight="false" outlineLevel="0" collapsed="false">
      <c r="A10" s="5" t="s">
        <v>915</v>
      </c>
      <c r="B10" s="5" t="s">
        <v>916</v>
      </c>
      <c r="C10" s="5" t="s">
        <v>1264</v>
      </c>
      <c r="D10" s="5" t="s">
        <v>903</v>
      </c>
      <c r="E10" s="5" t="n">
        <v>3</v>
      </c>
      <c r="F10" s="9" t="n">
        <v>0.09</v>
      </c>
    </row>
    <row r="11" customFormat="false" ht="15" hidden="false" customHeight="false" outlineLevel="0" collapsed="false">
      <c r="A11" s="5" t="s">
        <v>946</v>
      </c>
      <c r="B11" s="5" t="s">
        <v>947</v>
      </c>
      <c r="C11" s="5" t="s">
        <v>1257</v>
      </c>
      <c r="D11" s="5" t="s">
        <v>890</v>
      </c>
      <c r="E11" s="5" t="n">
        <v>4</v>
      </c>
      <c r="F11" s="9" t="n">
        <v>0.3</v>
      </c>
    </row>
    <row r="12" customFormat="false" ht="15" hidden="false" customHeight="false" outlineLevel="0" collapsed="false">
      <c r="A12" s="5" t="s">
        <v>946</v>
      </c>
      <c r="B12" s="5" t="s">
        <v>947</v>
      </c>
      <c r="C12" s="5" t="s">
        <v>1258</v>
      </c>
      <c r="D12" s="5" t="s">
        <v>900</v>
      </c>
      <c r="E12" s="5" t="n">
        <v>3</v>
      </c>
      <c r="F12" s="9" t="n">
        <v>0.2</v>
      </c>
    </row>
    <row r="13" customFormat="false" ht="15" hidden="false" customHeight="false" outlineLevel="0" collapsed="false">
      <c r="A13" s="5" t="s">
        <v>946</v>
      </c>
      <c r="B13" s="5" t="s">
        <v>947</v>
      </c>
      <c r="C13" s="5" t="s">
        <v>1265</v>
      </c>
      <c r="D13" s="5" t="s">
        <v>905</v>
      </c>
      <c r="E13" s="5" t="n">
        <v>4</v>
      </c>
      <c r="F13" s="9" t="n">
        <v>0.3</v>
      </c>
    </row>
    <row r="14" customFormat="false" ht="15" hidden="false" customHeight="false" outlineLevel="0" collapsed="false">
      <c r="A14" s="5" t="s">
        <v>946</v>
      </c>
      <c r="B14" s="5" t="s">
        <v>947</v>
      </c>
      <c r="C14" s="5" t="s">
        <v>1266</v>
      </c>
      <c r="D14" s="5" t="s">
        <v>897</v>
      </c>
      <c r="E14" s="5" t="n">
        <v>3</v>
      </c>
      <c r="F14" s="9" t="n">
        <v>0.2</v>
      </c>
    </row>
    <row r="15" customFormat="false" ht="15" hidden="false" customHeight="false" outlineLevel="0" collapsed="false">
      <c r="A15" s="5" t="s">
        <v>927</v>
      </c>
      <c r="B15" s="5" t="s">
        <v>928</v>
      </c>
      <c r="C15" s="5" t="s">
        <v>1267</v>
      </c>
      <c r="D15" s="5" t="s">
        <v>891</v>
      </c>
      <c r="E15" s="5" t="n">
        <v>4</v>
      </c>
      <c r="F15" s="9" t="n">
        <v>0.25</v>
      </c>
    </row>
    <row r="16" customFormat="false" ht="15" hidden="false" customHeight="false" outlineLevel="0" collapsed="false">
      <c r="A16" s="5" t="s">
        <v>927</v>
      </c>
      <c r="B16" s="5" t="s">
        <v>928</v>
      </c>
      <c r="C16" s="5" t="s">
        <v>1261</v>
      </c>
      <c r="D16" s="5" t="s">
        <v>892</v>
      </c>
      <c r="E16" s="5" t="n">
        <v>3</v>
      </c>
      <c r="F16" s="9" t="n">
        <v>0.17</v>
      </c>
    </row>
    <row r="17" customFormat="false" ht="15" hidden="false" customHeight="false" outlineLevel="0" collapsed="false">
      <c r="A17" s="5" t="s">
        <v>927</v>
      </c>
      <c r="B17" s="5" t="s">
        <v>928</v>
      </c>
      <c r="C17" s="5" t="s">
        <v>1262</v>
      </c>
      <c r="D17" s="5" t="s">
        <v>893</v>
      </c>
      <c r="E17" s="5" t="n">
        <v>4</v>
      </c>
      <c r="F17" s="9" t="n">
        <v>0.25</v>
      </c>
    </row>
    <row r="18" customFormat="false" ht="15" hidden="false" customHeight="false" outlineLevel="0" collapsed="false">
      <c r="A18" s="5" t="s">
        <v>927</v>
      </c>
      <c r="B18" s="5" t="s">
        <v>928</v>
      </c>
      <c r="C18" s="5" t="s">
        <v>1260</v>
      </c>
      <c r="D18" s="5" t="s">
        <v>895</v>
      </c>
      <c r="E18" s="5" t="n">
        <v>3</v>
      </c>
      <c r="F18" s="9" t="n">
        <v>0.17</v>
      </c>
    </row>
    <row r="19" customFormat="false" ht="15" hidden="false" customHeight="false" outlineLevel="0" collapsed="false">
      <c r="A19" s="5" t="s">
        <v>927</v>
      </c>
      <c r="B19" s="5" t="s">
        <v>928</v>
      </c>
      <c r="C19" s="5" t="s">
        <v>1268</v>
      </c>
      <c r="D19" s="5" t="s">
        <v>896</v>
      </c>
      <c r="E19" s="5" t="n">
        <v>3</v>
      </c>
      <c r="F19" s="9" t="n">
        <v>0.17</v>
      </c>
    </row>
    <row r="20" customFormat="false" ht="15" hidden="false" customHeight="false" outlineLevel="0" collapsed="false">
      <c r="A20" s="5" t="s">
        <v>921</v>
      </c>
      <c r="B20" s="5" t="s">
        <v>922</v>
      </c>
      <c r="C20" s="5" t="s">
        <v>1269</v>
      </c>
      <c r="D20" s="5" t="s">
        <v>898</v>
      </c>
      <c r="E20" s="5" t="n">
        <v>4</v>
      </c>
      <c r="F20" s="9" t="n">
        <v>0.4</v>
      </c>
    </row>
    <row r="21" customFormat="false" ht="15" hidden="false" customHeight="false" outlineLevel="0" collapsed="false">
      <c r="A21" s="5" t="s">
        <v>921</v>
      </c>
      <c r="B21" s="5" t="s">
        <v>922</v>
      </c>
      <c r="C21" s="5" t="s">
        <v>1270</v>
      </c>
      <c r="D21" s="5" t="s">
        <v>899</v>
      </c>
      <c r="E21" s="5" t="n">
        <v>4</v>
      </c>
      <c r="F21" s="9" t="n">
        <v>0.3</v>
      </c>
    </row>
    <row r="22" customFormat="false" ht="15" hidden="false" customHeight="false" outlineLevel="0" collapsed="false">
      <c r="A22" s="5" t="s">
        <v>921</v>
      </c>
      <c r="B22" s="5" t="s">
        <v>922</v>
      </c>
      <c r="C22" s="5" t="s">
        <v>1259</v>
      </c>
      <c r="D22" s="5" t="s">
        <v>894</v>
      </c>
      <c r="E22" s="5" t="n">
        <v>4</v>
      </c>
      <c r="F22" s="9" t="n">
        <v>0.3</v>
      </c>
    </row>
    <row r="23" customFormat="false" ht="15" hidden="false" customHeight="false" outlineLevel="0" collapsed="false">
      <c r="A23" s="5" t="s">
        <v>942</v>
      </c>
      <c r="B23" s="5" t="s">
        <v>943</v>
      </c>
      <c r="C23" s="5" t="s">
        <v>1260</v>
      </c>
      <c r="D23" s="5" t="s">
        <v>895</v>
      </c>
      <c r="E23" s="5" t="n">
        <v>5</v>
      </c>
      <c r="F23" s="9" t="n">
        <v>0.36</v>
      </c>
    </row>
    <row r="24" customFormat="false" ht="15" hidden="false" customHeight="false" outlineLevel="0" collapsed="false">
      <c r="A24" s="5" t="s">
        <v>942</v>
      </c>
      <c r="B24" s="5" t="s">
        <v>943</v>
      </c>
      <c r="C24" s="5" t="s">
        <v>1266</v>
      </c>
      <c r="D24" s="5" t="s">
        <v>897</v>
      </c>
      <c r="E24" s="5" t="n">
        <v>4</v>
      </c>
      <c r="F24" s="9" t="n">
        <v>0.27</v>
      </c>
    </row>
    <row r="25" customFormat="false" ht="15" hidden="false" customHeight="false" outlineLevel="0" collapsed="false">
      <c r="A25" s="5" t="s">
        <v>942</v>
      </c>
      <c r="B25" s="5" t="s">
        <v>943</v>
      </c>
      <c r="C25" s="5" t="s">
        <v>1268</v>
      </c>
      <c r="D25" s="5" t="s">
        <v>896</v>
      </c>
      <c r="E25" s="5" t="n">
        <v>4</v>
      </c>
      <c r="F25" s="9" t="n">
        <v>0.18</v>
      </c>
    </row>
    <row r="26" customFormat="false" ht="15" hidden="false" customHeight="false" outlineLevel="0" collapsed="false">
      <c r="A26" s="5" t="s">
        <v>942</v>
      </c>
      <c r="B26" s="5" t="s">
        <v>943</v>
      </c>
      <c r="C26" s="5" t="s">
        <v>1265</v>
      </c>
      <c r="D26" s="5" t="s">
        <v>905</v>
      </c>
      <c r="E26" s="5" t="n">
        <v>3</v>
      </c>
      <c r="F26" s="9" t="n">
        <v>0.18</v>
      </c>
    </row>
    <row r="27" customFormat="false" ht="15" hidden="false" customHeight="false" outlineLevel="0" collapsed="false">
      <c r="A27" s="5" t="s">
        <v>1248</v>
      </c>
      <c r="B27" s="5" t="s">
        <v>1249</v>
      </c>
      <c r="C27" s="5" t="s">
        <v>1257</v>
      </c>
      <c r="D27" s="5" t="s">
        <v>890</v>
      </c>
      <c r="E27" s="5" t="n">
        <v>4</v>
      </c>
      <c r="F27" s="9" t="n">
        <v>0.25</v>
      </c>
    </row>
    <row r="28" customFormat="false" ht="15" hidden="false" customHeight="false" outlineLevel="0" collapsed="false">
      <c r="A28" s="5" t="s">
        <v>1248</v>
      </c>
      <c r="B28" s="5" t="s">
        <v>1249</v>
      </c>
      <c r="C28" s="5" t="s">
        <v>1260</v>
      </c>
      <c r="D28" s="5" t="s">
        <v>895</v>
      </c>
      <c r="E28" s="5" t="n">
        <v>4</v>
      </c>
      <c r="F28" s="9" t="n">
        <v>0.25</v>
      </c>
    </row>
    <row r="29" customFormat="false" ht="15" hidden="false" customHeight="false" outlineLevel="0" collapsed="false">
      <c r="A29" s="5" t="s">
        <v>1248</v>
      </c>
      <c r="B29" s="5" t="s">
        <v>1249</v>
      </c>
      <c r="C29" s="5" t="s">
        <v>1269</v>
      </c>
      <c r="D29" s="5" t="s">
        <v>898</v>
      </c>
      <c r="E29" s="5" t="n">
        <v>4</v>
      </c>
      <c r="F29" s="9" t="n">
        <v>0.25</v>
      </c>
    </row>
    <row r="30" customFormat="false" ht="15" hidden="false" customHeight="false" outlineLevel="0" collapsed="false">
      <c r="A30" s="5" t="s">
        <v>1248</v>
      </c>
      <c r="B30" s="5" t="s">
        <v>1249</v>
      </c>
      <c r="C30" s="5" t="s">
        <v>1259</v>
      </c>
      <c r="D30" s="5" t="s">
        <v>894</v>
      </c>
      <c r="E30" s="5" t="n">
        <v>3</v>
      </c>
      <c r="F30" s="9" t="n">
        <v>0.1</v>
      </c>
    </row>
    <row r="31" customFormat="false" ht="15" hidden="false" customHeight="false" outlineLevel="0" collapsed="false">
      <c r="A31" s="5" t="s">
        <v>1248</v>
      </c>
      <c r="B31" s="5" t="s">
        <v>1249</v>
      </c>
      <c r="C31" s="5" t="s">
        <v>1271</v>
      </c>
      <c r="D31" s="5" t="s">
        <v>901</v>
      </c>
      <c r="E31" s="5" t="n">
        <v>3</v>
      </c>
      <c r="F31" s="9" t="n">
        <v>0.1</v>
      </c>
    </row>
    <row r="32" customFormat="false" ht="15" hidden="false" customHeight="false" outlineLevel="0" collapsed="false">
      <c r="A32" s="5" t="s">
        <v>1248</v>
      </c>
      <c r="B32" s="5" t="s">
        <v>1249</v>
      </c>
      <c r="C32" s="5" t="s">
        <v>1270</v>
      </c>
      <c r="D32" s="5" t="s">
        <v>899</v>
      </c>
      <c r="E32" s="5" t="n">
        <v>2</v>
      </c>
      <c r="F32" s="9" t="n">
        <v>0.05</v>
      </c>
    </row>
  </sheetData>
  <autoFilter ref="A1:F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5"/>
  </cols>
  <sheetData>
    <row r="1" customFormat="false" ht="33.75" hidden="false" customHeight="true" outlineLevel="0" collapsed="false">
      <c r="A1" s="4" t="s">
        <v>1272</v>
      </c>
      <c r="B1" s="4" t="s">
        <v>1273</v>
      </c>
      <c r="C1" s="4" t="s">
        <v>1253</v>
      </c>
      <c r="D1" s="4" t="s">
        <v>1254</v>
      </c>
      <c r="E1" s="4" t="s">
        <v>1274</v>
      </c>
      <c r="F1" s="4" t="s">
        <v>1275</v>
      </c>
      <c r="G1" s="4" t="s">
        <v>1276</v>
      </c>
      <c r="H1" s="4" t="s">
        <v>1277</v>
      </c>
    </row>
    <row r="2" customFormat="false" ht="15" hidden="false" customHeight="false" outlineLevel="0" collapsed="false">
      <c r="A2" s="5" t="s">
        <v>1278</v>
      </c>
      <c r="B2" s="5" t="s">
        <v>1279</v>
      </c>
      <c r="C2" s="5" t="s">
        <v>1257</v>
      </c>
      <c r="D2" s="5" t="s">
        <v>890</v>
      </c>
      <c r="E2" s="5" t="s">
        <v>1280</v>
      </c>
      <c r="F2" s="5" t="n">
        <v>24</v>
      </c>
      <c r="G2" s="5" t="s">
        <v>1281</v>
      </c>
      <c r="H2" s="5" t="s">
        <v>1282</v>
      </c>
    </row>
    <row r="3" customFormat="false" ht="15" hidden="false" customHeight="false" outlineLevel="0" collapsed="false">
      <c r="A3" s="5" t="s">
        <v>1283</v>
      </c>
      <c r="B3" s="5" t="s">
        <v>1284</v>
      </c>
      <c r="C3" s="5" t="s">
        <v>1257</v>
      </c>
      <c r="D3" s="5" t="s">
        <v>890</v>
      </c>
      <c r="E3" s="5" t="s">
        <v>1285</v>
      </c>
      <c r="F3" s="5" t="n">
        <v>16</v>
      </c>
      <c r="G3" s="5" t="s">
        <v>1286</v>
      </c>
      <c r="H3" s="5" t="s">
        <v>1287</v>
      </c>
    </row>
    <row r="4" customFormat="false" ht="15" hidden="false" customHeight="false" outlineLevel="0" collapsed="false">
      <c r="A4" s="5" t="s">
        <v>1288</v>
      </c>
      <c r="B4" s="5" t="s">
        <v>1289</v>
      </c>
      <c r="C4" s="5" t="s">
        <v>1260</v>
      </c>
      <c r="D4" s="5" t="s">
        <v>895</v>
      </c>
      <c r="E4" s="5" t="s">
        <v>1290</v>
      </c>
      <c r="F4" s="5" t="n">
        <v>20</v>
      </c>
      <c r="G4" s="5" t="s">
        <v>1291</v>
      </c>
      <c r="H4" s="5" t="s">
        <v>1282</v>
      </c>
    </row>
    <row r="5" customFormat="false" ht="15" hidden="false" customHeight="false" outlineLevel="0" collapsed="false">
      <c r="A5" s="5" t="s">
        <v>1292</v>
      </c>
      <c r="B5" s="5" t="s">
        <v>1293</v>
      </c>
      <c r="C5" s="5" t="s">
        <v>1260</v>
      </c>
      <c r="D5" s="5" t="s">
        <v>895</v>
      </c>
      <c r="E5" s="5" t="s">
        <v>1280</v>
      </c>
      <c r="F5" s="5" t="n">
        <v>32</v>
      </c>
      <c r="G5" s="5" t="s">
        <v>1294</v>
      </c>
      <c r="H5" s="5" t="s">
        <v>1282</v>
      </c>
    </row>
    <row r="6" customFormat="false" ht="15" hidden="false" customHeight="false" outlineLevel="0" collapsed="false">
      <c r="A6" s="5" t="s">
        <v>1295</v>
      </c>
      <c r="B6" s="5" t="s">
        <v>1296</v>
      </c>
      <c r="C6" s="5" t="s">
        <v>1269</v>
      </c>
      <c r="D6" s="5" t="s">
        <v>898</v>
      </c>
      <c r="E6" s="5" t="s">
        <v>1290</v>
      </c>
      <c r="F6" s="5" t="n">
        <v>18</v>
      </c>
      <c r="G6" s="5" t="s">
        <v>1281</v>
      </c>
      <c r="H6" s="5" t="s">
        <v>1287</v>
      </c>
    </row>
    <row r="7" customFormat="false" ht="15" hidden="false" customHeight="false" outlineLevel="0" collapsed="false">
      <c r="A7" s="5" t="s">
        <v>1297</v>
      </c>
      <c r="B7" s="5" t="s">
        <v>1298</v>
      </c>
      <c r="C7" s="5" t="s">
        <v>1269</v>
      </c>
      <c r="D7" s="5" t="s">
        <v>898</v>
      </c>
      <c r="E7" s="5" t="s">
        <v>1280</v>
      </c>
      <c r="F7" s="5" t="n">
        <v>14</v>
      </c>
      <c r="G7" s="5" t="s">
        <v>1286</v>
      </c>
      <c r="H7" s="5" t="s">
        <v>1282</v>
      </c>
    </row>
    <row r="8" customFormat="false" ht="15" hidden="false" customHeight="false" outlineLevel="0" collapsed="false">
      <c r="A8" s="5" t="s">
        <v>1299</v>
      </c>
      <c r="B8" s="5" t="s">
        <v>1300</v>
      </c>
      <c r="C8" s="5" t="s">
        <v>1271</v>
      </c>
      <c r="D8" s="5" t="s">
        <v>901</v>
      </c>
      <c r="E8" s="5" t="s">
        <v>1290</v>
      </c>
      <c r="F8" s="5" t="n">
        <v>18</v>
      </c>
      <c r="G8" s="5" t="s">
        <v>1291</v>
      </c>
      <c r="H8" s="5" t="s">
        <v>1287</v>
      </c>
    </row>
    <row r="9" customFormat="false" ht="15" hidden="false" customHeight="false" outlineLevel="0" collapsed="false">
      <c r="A9" s="5" t="s">
        <v>1301</v>
      </c>
      <c r="B9" s="5" t="s">
        <v>1302</v>
      </c>
      <c r="C9" s="5" t="s">
        <v>1271</v>
      </c>
      <c r="D9" s="5" t="s">
        <v>901</v>
      </c>
      <c r="E9" s="5" t="s">
        <v>1280</v>
      </c>
      <c r="F9" s="5" t="n">
        <v>12</v>
      </c>
      <c r="G9" s="5" t="s">
        <v>1294</v>
      </c>
      <c r="H9" s="5" t="s">
        <v>1282</v>
      </c>
    </row>
    <row r="10" customFormat="false" ht="15" hidden="false" customHeight="false" outlineLevel="0" collapsed="false">
      <c r="A10" s="5" t="s">
        <v>1303</v>
      </c>
      <c r="B10" s="5" t="s">
        <v>1304</v>
      </c>
      <c r="C10" s="5" t="s">
        <v>1259</v>
      </c>
      <c r="D10" s="5" t="s">
        <v>894</v>
      </c>
      <c r="E10" s="5" t="s">
        <v>1290</v>
      </c>
      <c r="F10" s="5" t="n">
        <v>12</v>
      </c>
      <c r="G10" s="5" t="s">
        <v>1281</v>
      </c>
      <c r="H10" s="5" t="s">
        <v>1282</v>
      </c>
    </row>
    <row r="11" customFormat="false" ht="15" hidden="false" customHeight="false" outlineLevel="0" collapsed="false">
      <c r="A11" s="5" t="s">
        <v>1305</v>
      </c>
      <c r="B11" s="5" t="s">
        <v>1306</v>
      </c>
      <c r="C11" s="5" t="s">
        <v>1270</v>
      </c>
      <c r="D11" s="5" t="s">
        <v>899</v>
      </c>
      <c r="E11" s="5" t="s">
        <v>1290</v>
      </c>
      <c r="F11" s="5" t="n">
        <v>10</v>
      </c>
      <c r="G11" s="5" t="s">
        <v>1286</v>
      </c>
      <c r="H11" s="5" t="s">
        <v>1287</v>
      </c>
    </row>
    <row r="12" customFormat="false" ht="15" hidden="false" customHeight="false" outlineLevel="0" collapsed="false">
      <c r="A12" s="5" t="s">
        <v>1307</v>
      </c>
      <c r="B12" s="5" t="s">
        <v>1308</v>
      </c>
      <c r="C12" s="5" t="s">
        <v>1258</v>
      </c>
      <c r="D12" s="5" t="s">
        <v>900</v>
      </c>
      <c r="E12" s="5" t="s">
        <v>1290</v>
      </c>
      <c r="F12" s="5" t="n">
        <v>28</v>
      </c>
      <c r="G12" s="5" t="s">
        <v>1291</v>
      </c>
      <c r="H12" s="5" t="s">
        <v>1282</v>
      </c>
    </row>
    <row r="13" customFormat="false" ht="15" hidden="false" customHeight="false" outlineLevel="0" collapsed="false">
      <c r="A13" s="5" t="s">
        <v>1309</v>
      </c>
      <c r="B13" s="5" t="s">
        <v>1310</v>
      </c>
      <c r="C13" s="5" t="s">
        <v>1268</v>
      </c>
      <c r="D13" s="5" t="s">
        <v>896</v>
      </c>
      <c r="E13" s="5" t="s">
        <v>1290</v>
      </c>
      <c r="F13" s="5" t="n">
        <v>16</v>
      </c>
      <c r="G13" s="5" t="s">
        <v>1294</v>
      </c>
      <c r="H13" s="5" t="s">
        <v>1287</v>
      </c>
    </row>
    <row r="14" customFormat="false" ht="15" hidden="false" customHeight="false" outlineLevel="0" collapsed="false">
      <c r="A14" s="5" t="s">
        <v>1311</v>
      </c>
      <c r="B14" s="5" t="s">
        <v>1312</v>
      </c>
      <c r="C14" s="5" t="s">
        <v>1266</v>
      </c>
      <c r="D14" s="5" t="s">
        <v>897</v>
      </c>
      <c r="E14" s="5" t="s">
        <v>1290</v>
      </c>
      <c r="F14" s="5" t="n">
        <v>10</v>
      </c>
      <c r="G14" s="5" t="s">
        <v>1281</v>
      </c>
      <c r="H14" s="5" t="s">
        <v>1287</v>
      </c>
    </row>
    <row r="15" customFormat="false" ht="15" hidden="false" customHeight="false" outlineLevel="0" collapsed="false">
      <c r="A15" s="5" t="s">
        <v>1313</v>
      </c>
      <c r="B15" s="5" t="s">
        <v>1314</v>
      </c>
      <c r="C15" s="5" t="s">
        <v>1265</v>
      </c>
      <c r="D15" s="5" t="s">
        <v>905</v>
      </c>
      <c r="E15" s="5" t="s">
        <v>1280</v>
      </c>
      <c r="F15" s="5" t="n">
        <v>20</v>
      </c>
      <c r="G15" s="5" t="s">
        <v>1286</v>
      </c>
      <c r="H15" s="5" t="s">
        <v>1287</v>
      </c>
    </row>
    <row r="16" customFormat="false" ht="15" hidden="false" customHeight="false" outlineLevel="0" collapsed="false">
      <c r="A16" s="5" t="s">
        <v>1315</v>
      </c>
      <c r="B16" s="5" t="s">
        <v>1316</v>
      </c>
      <c r="C16" s="5" t="s">
        <v>1261</v>
      </c>
      <c r="D16" s="5" t="s">
        <v>892</v>
      </c>
      <c r="E16" s="5" t="s">
        <v>1290</v>
      </c>
      <c r="F16" s="5" t="n">
        <v>14</v>
      </c>
      <c r="G16" s="5" t="s">
        <v>1291</v>
      </c>
      <c r="H16" s="5" t="s">
        <v>1287</v>
      </c>
    </row>
    <row r="17" customFormat="false" ht="15" hidden="false" customHeight="false" outlineLevel="0" collapsed="false">
      <c r="A17" s="5" t="s">
        <v>1317</v>
      </c>
      <c r="B17" s="5" t="s">
        <v>1318</v>
      </c>
      <c r="C17" s="5" t="s">
        <v>1262</v>
      </c>
      <c r="D17" s="5" t="s">
        <v>893</v>
      </c>
      <c r="E17" s="5" t="s">
        <v>1290</v>
      </c>
      <c r="F17" s="5" t="n">
        <v>14</v>
      </c>
      <c r="G17" s="5" t="s">
        <v>1294</v>
      </c>
      <c r="H17" s="5" t="s">
        <v>1282</v>
      </c>
    </row>
    <row r="18" customFormat="false" ht="15" hidden="false" customHeight="false" outlineLevel="0" collapsed="false">
      <c r="A18" s="5" t="s">
        <v>1319</v>
      </c>
      <c r="B18" s="5" t="s">
        <v>1320</v>
      </c>
      <c r="C18" s="5" t="s">
        <v>1267</v>
      </c>
      <c r="D18" s="5" t="s">
        <v>891</v>
      </c>
      <c r="E18" s="5" t="s">
        <v>1290</v>
      </c>
      <c r="F18" s="5" t="n">
        <v>10</v>
      </c>
      <c r="G18" s="5" t="s">
        <v>1281</v>
      </c>
      <c r="H18" s="5" t="s">
        <v>1282</v>
      </c>
    </row>
    <row r="19" customFormat="false" ht="15" hidden="false" customHeight="false" outlineLevel="0" collapsed="false">
      <c r="A19" s="5" t="s">
        <v>1321</v>
      </c>
      <c r="B19" s="5" t="s">
        <v>1322</v>
      </c>
      <c r="C19" s="5" t="s">
        <v>1263</v>
      </c>
      <c r="D19" s="5" t="s">
        <v>902</v>
      </c>
      <c r="E19" s="5" t="s">
        <v>1290</v>
      </c>
      <c r="F19" s="5" t="n">
        <v>12</v>
      </c>
      <c r="G19" s="5" t="s">
        <v>1286</v>
      </c>
      <c r="H19" s="5" t="s">
        <v>1287</v>
      </c>
    </row>
    <row r="20" customFormat="false" ht="15" hidden="false" customHeight="false" outlineLevel="0" collapsed="false">
      <c r="A20" s="5" t="s">
        <v>1323</v>
      </c>
      <c r="B20" s="5" t="s">
        <v>1324</v>
      </c>
      <c r="C20" s="5" t="s">
        <v>1264</v>
      </c>
      <c r="D20" s="5" t="s">
        <v>903</v>
      </c>
      <c r="E20" s="5" t="s">
        <v>1290</v>
      </c>
      <c r="F20" s="5" t="n">
        <v>12</v>
      </c>
      <c r="G20" s="5" t="s">
        <v>1291</v>
      </c>
      <c r="H20" s="5" t="s">
        <v>1282</v>
      </c>
    </row>
    <row r="21" customFormat="false" ht="15" hidden="false" customHeight="false" outlineLevel="0" collapsed="false">
      <c r="A21" s="5" t="s">
        <v>1325</v>
      </c>
      <c r="B21" s="5" t="s">
        <v>1326</v>
      </c>
      <c r="C21" s="5" t="s">
        <v>1327</v>
      </c>
      <c r="D21" s="5" t="s">
        <v>904</v>
      </c>
      <c r="E21" s="5" t="s">
        <v>1290</v>
      </c>
      <c r="F21" s="5" t="n">
        <v>10</v>
      </c>
      <c r="G21" s="5" t="s">
        <v>1294</v>
      </c>
      <c r="H21" s="5" t="s">
        <v>1282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6"/>
  </cols>
  <sheetData>
    <row r="1" customFormat="false" ht="33.75" hidden="false" customHeight="true" outlineLevel="0" collapsed="false">
      <c r="A1" s="4" t="s">
        <v>1253</v>
      </c>
      <c r="B1" s="4" t="s">
        <v>1254</v>
      </c>
      <c r="C1" s="4" t="s">
        <v>1328</v>
      </c>
    </row>
    <row r="2" customFormat="false" ht="15" hidden="false" customHeight="false" outlineLevel="0" collapsed="false">
      <c r="A2" s="5" t="s">
        <v>1257</v>
      </c>
      <c r="B2" s="5" t="s">
        <v>890</v>
      </c>
      <c r="C2" s="5" t="s">
        <v>1329</v>
      </c>
    </row>
    <row r="3" customFormat="false" ht="15" hidden="false" customHeight="false" outlineLevel="0" collapsed="false">
      <c r="A3" s="5" t="s">
        <v>1267</v>
      </c>
      <c r="B3" s="5" t="s">
        <v>891</v>
      </c>
      <c r="C3" s="5" t="s">
        <v>1329</v>
      </c>
    </row>
    <row r="4" customFormat="false" ht="15" hidden="false" customHeight="false" outlineLevel="0" collapsed="false">
      <c r="A4" s="5" t="s">
        <v>1261</v>
      </c>
      <c r="B4" s="5" t="s">
        <v>892</v>
      </c>
      <c r="C4" s="5" t="s">
        <v>1330</v>
      </c>
    </row>
    <row r="5" customFormat="false" ht="15" hidden="false" customHeight="false" outlineLevel="0" collapsed="false">
      <c r="A5" s="5" t="s">
        <v>1262</v>
      </c>
      <c r="B5" s="5" t="s">
        <v>893</v>
      </c>
      <c r="C5" s="5" t="s">
        <v>1331</v>
      </c>
    </row>
    <row r="6" customFormat="false" ht="15" hidden="false" customHeight="false" outlineLevel="0" collapsed="false">
      <c r="A6" s="5" t="s">
        <v>1259</v>
      </c>
      <c r="B6" s="5" t="s">
        <v>894</v>
      </c>
      <c r="C6" s="5" t="s">
        <v>1332</v>
      </c>
    </row>
    <row r="7" customFormat="false" ht="15" hidden="false" customHeight="false" outlineLevel="0" collapsed="false">
      <c r="A7" s="5" t="s">
        <v>1260</v>
      </c>
      <c r="B7" s="5" t="s">
        <v>895</v>
      </c>
      <c r="C7" s="5" t="s">
        <v>1333</v>
      </c>
    </row>
    <row r="8" customFormat="false" ht="15" hidden="false" customHeight="false" outlineLevel="0" collapsed="false">
      <c r="A8" s="5" t="s">
        <v>1268</v>
      </c>
      <c r="B8" s="5" t="s">
        <v>896</v>
      </c>
      <c r="C8" s="5" t="s">
        <v>1333</v>
      </c>
    </row>
    <row r="9" customFormat="false" ht="15" hidden="false" customHeight="false" outlineLevel="0" collapsed="false">
      <c r="A9" s="5" t="s">
        <v>1266</v>
      </c>
      <c r="B9" s="5" t="s">
        <v>897</v>
      </c>
      <c r="C9" s="5" t="s">
        <v>1333</v>
      </c>
    </row>
    <row r="10" customFormat="false" ht="15" hidden="false" customHeight="false" outlineLevel="0" collapsed="false">
      <c r="A10" s="5" t="s">
        <v>1269</v>
      </c>
      <c r="B10" s="5" t="s">
        <v>898</v>
      </c>
      <c r="C10" s="5" t="s">
        <v>1332</v>
      </c>
    </row>
    <row r="11" customFormat="false" ht="15" hidden="false" customHeight="false" outlineLevel="0" collapsed="false">
      <c r="A11" s="5" t="s">
        <v>1270</v>
      </c>
      <c r="B11" s="5" t="s">
        <v>899</v>
      </c>
      <c r="C11" s="5" t="s">
        <v>1332</v>
      </c>
    </row>
    <row r="12" customFormat="false" ht="15" hidden="false" customHeight="false" outlineLevel="0" collapsed="false">
      <c r="A12" s="5" t="s">
        <v>1258</v>
      </c>
      <c r="B12" s="5" t="s">
        <v>900</v>
      </c>
      <c r="C12" s="5" t="s">
        <v>1334</v>
      </c>
    </row>
    <row r="13" customFormat="false" ht="15" hidden="false" customHeight="false" outlineLevel="0" collapsed="false">
      <c r="A13" s="5" t="s">
        <v>1271</v>
      </c>
      <c r="B13" s="5" t="s">
        <v>901</v>
      </c>
      <c r="C13" s="5" t="s">
        <v>1332</v>
      </c>
    </row>
    <row r="14" customFormat="false" ht="15" hidden="false" customHeight="false" outlineLevel="0" collapsed="false">
      <c r="A14" s="5" t="s">
        <v>1263</v>
      </c>
      <c r="B14" s="5" t="s">
        <v>902</v>
      </c>
      <c r="C14" s="5" t="s">
        <v>202</v>
      </c>
    </row>
    <row r="15" customFormat="false" ht="15" hidden="false" customHeight="false" outlineLevel="0" collapsed="false">
      <c r="A15" s="5" t="s">
        <v>1264</v>
      </c>
      <c r="B15" s="5" t="s">
        <v>903</v>
      </c>
      <c r="C15" s="5" t="s">
        <v>1335</v>
      </c>
    </row>
    <row r="16" customFormat="false" ht="15" hidden="false" customHeight="false" outlineLevel="0" collapsed="false">
      <c r="A16" s="5" t="s">
        <v>1327</v>
      </c>
      <c r="B16" s="5" t="s">
        <v>904</v>
      </c>
      <c r="C16" s="5" t="s">
        <v>1336</v>
      </c>
    </row>
    <row r="17" customFormat="false" ht="15" hidden="false" customHeight="false" outlineLevel="0" collapsed="false">
      <c r="A17" s="5" t="s">
        <v>1265</v>
      </c>
      <c r="B17" s="5" t="s">
        <v>905</v>
      </c>
      <c r="C17" s="5" t="s">
        <v>1337</v>
      </c>
    </row>
  </sheetData>
  <autoFilter ref="A1:C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2026-10-15T06:26:07Z</dcterms:created>
  <dc:creator>openpyxl</dc:creator>
  <dc:description/>
  <dc:language>en-US</dc:language>
  <cp:lastModifiedBy/>
  <dcterms:modified xsi:type="dcterms:W3CDTF">2026-10-15T06:26:07Z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